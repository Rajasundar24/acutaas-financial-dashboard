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raja\Acutaas project\Acutaas project\"/>
    </mc:Choice>
  </mc:AlternateContent>
  <bookViews>
    <workbookView xWindow="0" yWindow="0" windowWidth="19200" windowHeight="6930" firstSheet="1" activeTab="1"/>
  </bookViews>
  <sheets>
    <sheet name="TEMP" sheetId="1" r:id="rId1"/>
    <sheet name="HISTORICAL INFORMATION" sheetId="3" r:id="rId2"/>
    <sheet name="MODEL" sheetId="2" r:id="rId3"/>
    <sheet name="SCENARIOS" sheetId="6" r:id="rId4"/>
    <sheet name="COMP" sheetId="7" r:id="rId5"/>
    <sheet name="COMP DATA" sheetId="5" r:id="rId6"/>
    <sheet name="MARKET DATA" sheetId="8" r:id="rId7"/>
    <sheet name="WACC" sheetId="9" r:id="rId8"/>
    <sheet name="BETA" sheetId="10" r:id="rId9"/>
    <sheet name="SUMMARY" sheetId="13" r:id="rId10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6" i="2" l="1"/>
  <c r="E134" i="2" l="1"/>
  <c r="K10" i="13" l="1"/>
  <c r="K8" i="13"/>
  <c r="J10" i="13"/>
  <c r="J9" i="13"/>
  <c r="J8" i="13"/>
  <c r="J7" i="13"/>
  <c r="H10" i="13"/>
  <c r="H9" i="13"/>
  <c r="H8" i="13"/>
  <c r="H7" i="13"/>
  <c r="I10" i="13"/>
  <c r="I8" i="13"/>
  <c r="N20" i="2"/>
  <c r="O20" i="2"/>
  <c r="P20" i="2" s="1"/>
  <c r="Q20" i="2" s="1"/>
  <c r="R20" i="2" s="1"/>
  <c r="M20" i="2"/>
  <c r="E138" i="2" l="1"/>
  <c r="E137" i="2"/>
  <c r="K161" i="2"/>
  <c r="K160" i="2"/>
  <c r="K159" i="2"/>
  <c r="K158" i="2" l="1"/>
  <c r="E161" i="2"/>
  <c r="E160" i="2"/>
  <c r="E159" i="2"/>
  <c r="K162" i="2" l="1"/>
  <c r="K164" i="2"/>
  <c r="O158" i="2" s="1"/>
  <c r="R113" i="2"/>
  <c r="R123" i="2"/>
  <c r="R124" i="2"/>
  <c r="R125" i="2"/>
  <c r="R126" i="2"/>
  <c r="R98" i="2" s="1"/>
  <c r="R87" i="2"/>
  <c r="R88" i="2"/>
  <c r="R96" i="2"/>
  <c r="R100" i="2"/>
  <c r="R62" i="2"/>
  <c r="R64" i="2"/>
  <c r="R65" i="2"/>
  <c r="R68" i="2"/>
  <c r="R71" i="2"/>
  <c r="R46" i="2"/>
  <c r="R49" i="2"/>
  <c r="R53" i="2"/>
  <c r="R54" i="2"/>
  <c r="R55" i="2"/>
  <c r="R34" i="2" l="1"/>
  <c r="R10" i="2"/>
  <c r="R11" i="2"/>
  <c r="R12" i="2"/>
  <c r="R13" i="2"/>
  <c r="R14" i="2"/>
  <c r="R15" i="2"/>
  <c r="R16" i="2"/>
  <c r="R17" i="2"/>
  <c r="R18" i="2"/>
  <c r="R19" i="2"/>
  <c r="R9" i="2"/>
  <c r="M6" i="6"/>
  <c r="R2" i="2"/>
  <c r="R4" i="3"/>
  <c r="I20" i="7"/>
  <c r="I21" i="7"/>
  <c r="L16" i="7"/>
  <c r="K16" i="7"/>
  <c r="L11" i="7"/>
  <c r="L10" i="7"/>
  <c r="L9" i="7"/>
  <c r="L8" i="7"/>
  <c r="K11" i="7"/>
  <c r="K10" i="7"/>
  <c r="K9" i="7"/>
  <c r="K8" i="7"/>
  <c r="H9" i="10" l="1"/>
  <c r="J144" i="2"/>
  <c r="K144" i="2"/>
  <c r="L144" i="2"/>
  <c r="I144" i="2"/>
  <c r="J142" i="2"/>
  <c r="K142" i="2"/>
  <c r="L142" i="2"/>
  <c r="M142" i="2"/>
  <c r="M144" i="2" s="1"/>
  <c r="I142" i="2"/>
  <c r="N142" i="2" l="1"/>
  <c r="I141" i="2"/>
  <c r="J141" i="2" s="1"/>
  <c r="K141" i="2" s="1"/>
  <c r="L141" i="2" s="1"/>
  <c r="H142" i="2"/>
  <c r="H80" i="2" l="1"/>
  <c r="H6" i="10" l="1"/>
  <c r="H5" i="10"/>
  <c r="E8" i="10" l="1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7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H39" i="9"/>
  <c r="H38" i="9"/>
  <c r="H33" i="9"/>
  <c r="M15" i="9"/>
  <c r="M14" i="9"/>
  <c r="I17" i="9"/>
  <c r="H28" i="9" s="1"/>
  <c r="H17" i="9"/>
  <c r="H27" i="9" s="1"/>
  <c r="L10" i="9"/>
  <c r="L14" i="9" s="1"/>
  <c r="L11" i="9"/>
  <c r="L12" i="9"/>
  <c r="L13" i="9"/>
  <c r="I10" i="9"/>
  <c r="J10" i="9" s="1"/>
  <c r="I11" i="9"/>
  <c r="K11" i="9" s="1"/>
  <c r="I12" i="9"/>
  <c r="K12" i="9" s="1"/>
  <c r="I13" i="9"/>
  <c r="K13" i="9" s="1"/>
  <c r="H10" i="9"/>
  <c r="H11" i="9"/>
  <c r="H12" i="9"/>
  <c r="J12" i="9" s="1"/>
  <c r="N12" i="9" s="1"/>
  <c r="H13" i="9"/>
  <c r="J13" i="9" s="1"/>
  <c r="N13" i="9" s="1"/>
  <c r="J11" i="9" l="1"/>
  <c r="N11" i="9" s="1"/>
  <c r="J14" i="9"/>
  <c r="N10" i="9"/>
  <c r="J15" i="9"/>
  <c r="H29" i="9"/>
  <c r="L15" i="9"/>
  <c r="K10" i="9"/>
  <c r="A1" i="9"/>
  <c r="K15" i="9" l="1"/>
  <c r="K14" i="9"/>
  <c r="H24" i="9" s="1"/>
  <c r="H25" i="9" s="1"/>
  <c r="N15" i="9"/>
  <c r="H40" i="9" s="1"/>
  <c r="H41" i="9" s="1"/>
  <c r="N14" i="9"/>
  <c r="E11" i="8"/>
  <c r="E8" i="8"/>
  <c r="O16" i="7" l="1"/>
  <c r="P16" i="7"/>
  <c r="Q16" i="7"/>
  <c r="I16" i="7"/>
  <c r="H16" i="7"/>
  <c r="O8" i="7"/>
  <c r="P8" i="7"/>
  <c r="Q8" i="7"/>
  <c r="O9" i="7"/>
  <c r="P9" i="7"/>
  <c r="Q9" i="7"/>
  <c r="O10" i="7"/>
  <c r="P10" i="7"/>
  <c r="Q10" i="7"/>
  <c r="O11" i="7"/>
  <c r="P11" i="7"/>
  <c r="Q11" i="7"/>
  <c r="K20" i="7" l="1"/>
  <c r="K21" i="7"/>
  <c r="I19" i="7"/>
  <c r="K19" i="7"/>
  <c r="J16" i="7"/>
  <c r="F16" i="7"/>
  <c r="I8" i="7"/>
  <c r="I9" i="7"/>
  <c r="I10" i="7"/>
  <c r="I11" i="7"/>
  <c r="H8" i="7"/>
  <c r="J8" i="7" s="1"/>
  <c r="H9" i="7"/>
  <c r="J9" i="7" s="1"/>
  <c r="U9" i="7" s="1"/>
  <c r="H10" i="7"/>
  <c r="J10" i="7" s="1"/>
  <c r="H11" i="7"/>
  <c r="J11" i="7" s="1"/>
  <c r="F8" i="7"/>
  <c r="F9" i="7"/>
  <c r="F10" i="7"/>
  <c r="F11" i="7"/>
  <c r="M11" i="7" l="1"/>
  <c r="U11" i="7"/>
  <c r="M10" i="7"/>
  <c r="U10" i="7"/>
  <c r="M8" i="7"/>
  <c r="U8" i="7"/>
  <c r="M16" i="7"/>
  <c r="U16" i="7"/>
  <c r="M9" i="7"/>
  <c r="T9" i="7" s="1"/>
  <c r="N14" i="2"/>
  <c r="O14" i="2"/>
  <c r="P14" i="2"/>
  <c r="Q14" i="2"/>
  <c r="M14" i="2"/>
  <c r="M13" i="2"/>
  <c r="H32" i="9" s="1"/>
  <c r="H34" i="9" s="1"/>
  <c r="H43" i="9" s="1"/>
  <c r="S9" i="7" l="1"/>
  <c r="T16" i="7"/>
  <c r="S16" i="7"/>
  <c r="U14" i="7"/>
  <c r="E21" i="7" s="1"/>
  <c r="J21" i="7" s="1"/>
  <c r="U13" i="7"/>
  <c r="S8" i="7"/>
  <c r="T8" i="7"/>
  <c r="T10" i="7"/>
  <c r="S10" i="7"/>
  <c r="T11" i="7"/>
  <c r="S11" i="7"/>
  <c r="M100" i="2"/>
  <c r="N100" i="2"/>
  <c r="O100" i="2"/>
  <c r="P100" i="2"/>
  <c r="Q100" i="2"/>
  <c r="M87" i="2"/>
  <c r="N87" i="2"/>
  <c r="O87" i="2"/>
  <c r="P87" i="2"/>
  <c r="Q87" i="2"/>
  <c r="T14" i="7" l="1"/>
  <c r="E20" i="7" s="1"/>
  <c r="H20" i="7" s="1"/>
  <c r="J20" i="7" s="1"/>
  <c r="L20" i="7" s="1"/>
  <c r="L21" i="7"/>
  <c r="H21" i="7"/>
  <c r="S14" i="7"/>
  <c r="E19" i="7" s="1"/>
  <c r="H19" i="7" s="1"/>
  <c r="J19" i="7" s="1"/>
  <c r="L19" i="7" s="1"/>
  <c r="T13" i="7"/>
  <c r="S13" i="7"/>
  <c r="A1" i="2"/>
  <c r="N124" i="2" l="1"/>
  <c r="O124" i="2"/>
  <c r="O96" i="2" s="1"/>
  <c r="P124" i="2"/>
  <c r="P96" i="2" s="1"/>
  <c r="Q124" i="2"/>
  <c r="Q96" i="2" s="1"/>
  <c r="M124" i="2"/>
  <c r="M96" i="2" s="1"/>
  <c r="N96" i="2" l="1"/>
  <c r="M168" i="3" l="1"/>
  <c r="N168" i="3" s="1"/>
  <c r="M167" i="3"/>
  <c r="N167" i="3" s="1"/>
  <c r="T175" i="3"/>
  <c r="U175" i="3" s="1"/>
  <c r="S176" i="3"/>
  <c r="R176" i="3"/>
  <c r="Q176" i="3"/>
  <c r="N169" i="3" l="1"/>
  <c r="T176" i="3"/>
  <c r="G7" i="2"/>
  <c r="H113" i="2" l="1"/>
  <c r="I113" i="2"/>
  <c r="J113" i="2"/>
  <c r="K113" i="2"/>
  <c r="L113" i="2"/>
  <c r="H112" i="2"/>
  <c r="I112" i="2"/>
  <c r="J112" i="2"/>
  <c r="K112" i="2"/>
  <c r="L112" i="2"/>
  <c r="H111" i="2"/>
  <c r="I111" i="2"/>
  <c r="J111" i="2"/>
  <c r="K111" i="2"/>
  <c r="L111" i="2"/>
  <c r="H110" i="2"/>
  <c r="I110" i="2"/>
  <c r="J110" i="2"/>
  <c r="K110" i="2"/>
  <c r="L110" i="2"/>
  <c r="H104" i="2"/>
  <c r="I104" i="2"/>
  <c r="J104" i="2"/>
  <c r="K104" i="2"/>
  <c r="L104" i="2"/>
  <c r="I100" i="2"/>
  <c r="J100" i="2"/>
  <c r="K100" i="2"/>
  <c r="L100" i="2"/>
  <c r="H100" i="2"/>
  <c r="H99" i="2"/>
  <c r="I99" i="2"/>
  <c r="J99" i="2"/>
  <c r="K99" i="2"/>
  <c r="L99" i="2"/>
  <c r="H98" i="2"/>
  <c r="I98" i="2"/>
  <c r="J98" i="2"/>
  <c r="K98" i="2"/>
  <c r="L98" i="2"/>
  <c r="H97" i="2"/>
  <c r="I97" i="2"/>
  <c r="J97" i="2"/>
  <c r="K97" i="2"/>
  <c r="L97" i="2"/>
  <c r="H96" i="2"/>
  <c r="I96" i="2"/>
  <c r="J96" i="2"/>
  <c r="K96" i="2"/>
  <c r="L96" i="2"/>
  <c r="H92" i="2"/>
  <c r="I92" i="2"/>
  <c r="J92" i="2"/>
  <c r="K92" i="2"/>
  <c r="L92" i="2"/>
  <c r="H91" i="2"/>
  <c r="I91" i="2"/>
  <c r="J91" i="2"/>
  <c r="K91" i="2"/>
  <c r="L91" i="2"/>
  <c r="H90" i="2"/>
  <c r="I90" i="2"/>
  <c r="J90" i="2"/>
  <c r="K90" i="2"/>
  <c r="L90" i="2"/>
  <c r="H89" i="2"/>
  <c r="I89" i="2"/>
  <c r="J89" i="2"/>
  <c r="K89" i="2"/>
  <c r="L89" i="2"/>
  <c r="I88" i="2"/>
  <c r="J88" i="2"/>
  <c r="K88" i="2"/>
  <c r="L88" i="2"/>
  <c r="H88" i="2"/>
  <c r="H87" i="2"/>
  <c r="I87" i="2"/>
  <c r="J87" i="2"/>
  <c r="K87" i="2"/>
  <c r="L87" i="2"/>
  <c r="H86" i="2"/>
  <c r="I86" i="2"/>
  <c r="J86" i="2"/>
  <c r="K86" i="2"/>
  <c r="L86" i="2"/>
  <c r="H114" i="2" l="1"/>
  <c r="L114" i="2"/>
  <c r="K114" i="2"/>
  <c r="I101" i="2"/>
  <c r="J114" i="2"/>
  <c r="I114" i="2"/>
  <c r="K93" i="2"/>
  <c r="K101" i="2"/>
  <c r="J101" i="2"/>
  <c r="I93" i="2"/>
  <c r="H101" i="2"/>
  <c r="L93" i="2"/>
  <c r="L101" i="2"/>
  <c r="H93" i="2"/>
  <c r="J93" i="2"/>
  <c r="I130" i="3"/>
  <c r="I82" i="2" s="1"/>
  <c r="J130" i="3"/>
  <c r="J82" i="2" s="1"/>
  <c r="K130" i="3"/>
  <c r="K82" i="2" s="1"/>
  <c r="L130" i="3"/>
  <c r="L82" i="2" s="1"/>
  <c r="H130" i="3"/>
  <c r="H82" i="2" s="1"/>
  <c r="I119" i="3"/>
  <c r="I81" i="2" s="1"/>
  <c r="J119" i="3"/>
  <c r="J81" i="2" s="1"/>
  <c r="K119" i="3"/>
  <c r="K81" i="2" s="1"/>
  <c r="L119" i="3"/>
  <c r="L81" i="2" s="1"/>
  <c r="H119" i="3"/>
  <c r="H81" i="2" s="1"/>
  <c r="H119" i="2" l="1"/>
  <c r="I80" i="2"/>
  <c r="I119" i="2" s="1"/>
  <c r="J80" i="2"/>
  <c r="J119" i="2" s="1"/>
  <c r="K80" i="2"/>
  <c r="K119" i="2" s="1"/>
  <c r="L80" i="2"/>
  <c r="L119" i="2" s="1"/>
  <c r="H79" i="2"/>
  <c r="I79" i="2"/>
  <c r="J79" i="2"/>
  <c r="K79" i="2"/>
  <c r="L79" i="2"/>
  <c r="H83" i="2" l="1"/>
  <c r="H103" i="2" s="1"/>
  <c r="H105" i="2" s="1"/>
  <c r="L83" i="2"/>
  <c r="L103" i="2" s="1"/>
  <c r="L105" i="2" s="1"/>
  <c r="M104" i="2" s="1"/>
  <c r="K83" i="2"/>
  <c r="K103" i="2" s="1"/>
  <c r="K105" i="2" s="1"/>
  <c r="J83" i="2"/>
  <c r="J103" i="2" s="1"/>
  <c r="J105" i="2" s="1"/>
  <c r="I83" i="2"/>
  <c r="I103" i="2" s="1"/>
  <c r="I105" i="2" s="1"/>
  <c r="H65" i="2"/>
  <c r="I65" i="2"/>
  <c r="J65" i="2"/>
  <c r="K65" i="2"/>
  <c r="L65" i="2"/>
  <c r="M65" i="2" s="1"/>
  <c r="N65" i="2" s="1"/>
  <c r="O65" i="2" s="1"/>
  <c r="P65" i="2" s="1"/>
  <c r="Q65" i="2" s="1"/>
  <c r="H71" i="2"/>
  <c r="I71" i="2"/>
  <c r="J71" i="2"/>
  <c r="K71" i="2"/>
  <c r="L71" i="2"/>
  <c r="M71" i="2" s="1"/>
  <c r="N71" i="2" s="1"/>
  <c r="O71" i="2" s="1"/>
  <c r="P71" i="2" s="1"/>
  <c r="Q71" i="2" s="1"/>
  <c r="H69" i="2"/>
  <c r="I69" i="2"/>
  <c r="J69" i="2"/>
  <c r="K69" i="2"/>
  <c r="L69" i="2"/>
  <c r="H68" i="2"/>
  <c r="I68" i="2"/>
  <c r="J68" i="2"/>
  <c r="K68" i="2"/>
  <c r="L68" i="2"/>
  <c r="M68" i="2" s="1"/>
  <c r="N68" i="2" s="1"/>
  <c r="O68" i="2" s="1"/>
  <c r="P68" i="2" s="1"/>
  <c r="Q68" i="2" s="1"/>
  <c r="H64" i="2"/>
  <c r="H125" i="2" s="1"/>
  <c r="I123" i="2" s="1"/>
  <c r="I64" i="2"/>
  <c r="I125" i="2" s="1"/>
  <c r="J64" i="2"/>
  <c r="J125" i="2" s="1"/>
  <c r="K64" i="2"/>
  <c r="K125" i="2" s="1"/>
  <c r="L64" i="2"/>
  <c r="L125" i="2" s="1"/>
  <c r="M123" i="2" s="1"/>
  <c r="M125" i="2" s="1"/>
  <c r="H62" i="2"/>
  <c r="I62" i="2"/>
  <c r="J62" i="2"/>
  <c r="K62" i="2"/>
  <c r="L62" i="2"/>
  <c r="M62" i="2" s="1"/>
  <c r="N62" i="2" s="1"/>
  <c r="O62" i="2" s="1"/>
  <c r="P62" i="2" s="1"/>
  <c r="Q62" i="2" s="1"/>
  <c r="H61" i="2"/>
  <c r="I61" i="2"/>
  <c r="J61" i="2"/>
  <c r="K61" i="2"/>
  <c r="L61" i="2"/>
  <c r="H54" i="2"/>
  <c r="I54" i="2"/>
  <c r="J54" i="2"/>
  <c r="K54" i="2"/>
  <c r="L54" i="2"/>
  <c r="H55" i="2"/>
  <c r="I55" i="2"/>
  <c r="J55" i="2"/>
  <c r="K55" i="2"/>
  <c r="L55" i="2"/>
  <c r="M55" i="2" s="1"/>
  <c r="N55" i="2" s="1"/>
  <c r="O55" i="2" s="1"/>
  <c r="P55" i="2" s="1"/>
  <c r="Q55" i="2" s="1"/>
  <c r="H53" i="2"/>
  <c r="I53" i="2"/>
  <c r="J53" i="2"/>
  <c r="K53" i="2"/>
  <c r="L53" i="2"/>
  <c r="M53" i="2" s="1"/>
  <c r="N53" i="2" s="1"/>
  <c r="O53" i="2" s="1"/>
  <c r="P53" i="2" s="1"/>
  <c r="Q53" i="2" s="1"/>
  <c r="H52" i="2"/>
  <c r="H120" i="2" s="1"/>
  <c r="I117" i="2" s="1"/>
  <c r="I52" i="2"/>
  <c r="I120" i="2" s="1"/>
  <c r="J52" i="2"/>
  <c r="J120" i="2" s="1"/>
  <c r="K52" i="2"/>
  <c r="K120" i="2" s="1"/>
  <c r="L52" i="2"/>
  <c r="L120" i="2" s="1"/>
  <c r="M117" i="2" s="1"/>
  <c r="H49" i="2"/>
  <c r="I49" i="2"/>
  <c r="J49" i="2"/>
  <c r="K49" i="2"/>
  <c r="L49" i="2"/>
  <c r="H48" i="2"/>
  <c r="I48" i="2"/>
  <c r="J48" i="2"/>
  <c r="K48" i="2"/>
  <c r="L48" i="2"/>
  <c r="H47" i="2"/>
  <c r="I47" i="2"/>
  <c r="J47" i="2"/>
  <c r="K47" i="2"/>
  <c r="L47" i="2"/>
  <c r="H46" i="2"/>
  <c r="I46" i="2"/>
  <c r="J46" i="2"/>
  <c r="K46" i="2"/>
  <c r="L46" i="2"/>
  <c r="M46" i="2" s="1"/>
  <c r="N46" i="2" s="1"/>
  <c r="O46" i="2" s="1"/>
  <c r="P46" i="2" s="1"/>
  <c r="Q46" i="2" s="1"/>
  <c r="H45" i="2"/>
  <c r="I45" i="2"/>
  <c r="J45" i="2"/>
  <c r="K45" i="2"/>
  <c r="L45" i="2"/>
  <c r="H37" i="2"/>
  <c r="I37" i="2"/>
  <c r="H35" i="2"/>
  <c r="I35" i="2"/>
  <c r="I34" i="2"/>
  <c r="H34" i="2"/>
  <c r="H126" i="2" s="1"/>
  <c r="H32" i="2"/>
  <c r="I32" i="2"/>
  <c r="I30" i="2"/>
  <c r="H30" i="2"/>
  <c r="H29" i="2"/>
  <c r="I29" i="2"/>
  <c r="J29" i="2"/>
  <c r="I26" i="2"/>
  <c r="H26" i="2"/>
  <c r="I25" i="2"/>
  <c r="H25" i="2"/>
  <c r="H11" i="2" l="1"/>
  <c r="H17" i="2"/>
  <c r="M64" i="2"/>
  <c r="N123" i="2"/>
  <c r="N125" i="2" s="1"/>
  <c r="M54" i="2"/>
  <c r="M49" i="2"/>
  <c r="M113" i="2" s="1"/>
  <c r="I9" i="2"/>
  <c r="I12" i="2"/>
  <c r="H20" i="2"/>
  <c r="H9" i="2"/>
  <c r="H19" i="2"/>
  <c r="I126" i="2"/>
  <c r="I13" i="2"/>
  <c r="H10" i="2"/>
  <c r="H14" i="2"/>
  <c r="I17" i="2"/>
  <c r="I11" i="2"/>
  <c r="I18" i="2"/>
  <c r="I20" i="2"/>
  <c r="I8" i="2"/>
  <c r="I19" i="2"/>
  <c r="H18" i="2"/>
  <c r="I10" i="2"/>
  <c r="I14" i="2"/>
  <c r="L123" i="2"/>
  <c r="L124" i="2" s="1"/>
  <c r="K123" i="2"/>
  <c r="K124" i="2" s="1"/>
  <c r="L117" i="2"/>
  <c r="L118" i="2" s="1"/>
  <c r="J123" i="2"/>
  <c r="J124" i="2" s="1"/>
  <c r="I124" i="2"/>
  <c r="K117" i="2"/>
  <c r="K118" i="2" s="1"/>
  <c r="I118" i="2"/>
  <c r="J117" i="2"/>
  <c r="J118" i="2" s="1"/>
  <c r="I70" i="2"/>
  <c r="L70" i="2"/>
  <c r="K70" i="2"/>
  <c r="H27" i="2"/>
  <c r="H31" i="2" s="1"/>
  <c r="H33" i="2" s="1"/>
  <c r="H36" i="2" s="1"/>
  <c r="H38" i="2" s="1"/>
  <c r="I27" i="2"/>
  <c r="I31" i="2" s="1"/>
  <c r="I33" i="2" s="1"/>
  <c r="I36" i="2" s="1"/>
  <c r="I38" i="2" s="1"/>
  <c r="J70" i="2"/>
  <c r="H70" i="2"/>
  <c r="J56" i="2"/>
  <c r="I56" i="2"/>
  <c r="H56" i="2"/>
  <c r="L56" i="2"/>
  <c r="I66" i="2"/>
  <c r="K56" i="2"/>
  <c r="J66" i="2"/>
  <c r="H66" i="2"/>
  <c r="L66" i="2"/>
  <c r="K66" i="2"/>
  <c r="H2" i="2"/>
  <c r="N54" i="2" l="1"/>
  <c r="N64" i="2"/>
  <c r="O123" i="2"/>
  <c r="O125" i="2" s="1"/>
  <c r="N49" i="2"/>
  <c r="N113" i="2" s="1"/>
  <c r="M88" i="2"/>
  <c r="H15" i="2"/>
  <c r="I15" i="2"/>
  <c r="I72" i="2"/>
  <c r="I74" i="2" s="1"/>
  <c r="I3" i="2" s="1"/>
  <c r="K72" i="2"/>
  <c r="K74" i="2" s="1"/>
  <c r="K3" i="2" s="1"/>
  <c r="J72" i="2"/>
  <c r="J74" i="2" s="1"/>
  <c r="J3" i="2" s="1"/>
  <c r="H72" i="2"/>
  <c r="H74" i="2" s="1"/>
  <c r="H3" i="2" s="1"/>
  <c r="L72" i="2"/>
  <c r="L74" i="2" s="1"/>
  <c r="L3" i="2" s="1"/>
  <c r="J77" i="3"/>
  <c r="I77" i="3"/>
  <c r="H77" i="3"/>
  <c r="I30" i="3"/>
  <c r="I19" i="3"/>
  <c r="H30" i="3"/>
  <c r="H19" i="3"/>
  <c r="O64" i="2" l="1"/>
  <c r="P123" i="2"/>
  <c r="P125" i="2" s="1"/>
  <c r="O54" i="2"/>
  <c r="O88" i="2"/>
  <c r="O49" i="2"/>
  <c r="N88" i="2"/>
  <c r="I166" i="3"/>
  <c r="J166" i="3" s="1"/>
  <c r="K166" i="3" s="1"/>
  <c r="I104" i="3"/>
  <c r="J104" i="3" s="1"/>
  <c r="I46" i="3"/>
  <c r="J46" i="3" s="1"/>
  <c r="I4" i="3"/>
  <c r="P49" i="2" l="1"/>
  <c r="P113" i="2" s="1"/>
  <c r="O113" i="2"/>
  <c r="P54" i="2"/>
  <c r="P88" i="2" s="1"/>
  <c r="P64" i="2"/>
  <c r="Q123" i="2"/>
  <c r="Q125" i="2" s="1"/>
  <c r="J4" i="3"/>
  <c r="I2" i="2"/>
  <c r="J37" i="2"/>
  <c r="K37" i="2"/>
  <c r="L37" i="2"/>
  <c r="K35" i="2"/>
  <c r="L35" i="2"/>
  <c r="J35" i="2"/>
  <c r="J34" i="2"/>
  <c r="K34" i="2"/>
  <c r="L34" i="2"/>
  <c r="J32" i="2"/>
  <c r="J12" i="2" s="1"/>
  <c r="K32" i="2"/>
  <c r="K12" i="2" s="1"/>
  <c r="L32" i="2"/>
  <c r="L12" i="2" s="1"/>
  <c r="J30" i="2"/>
  <c r="K30" i="2"/>
  <c r="L30" i="2"/>
  <c r="K29" i="2"/>
  <c r="L29" i="2"/>
  <c r="Q64" i="2" l="1"/>
  <c r="Q54" i="2"/>
  <c r="Q88" i="2" s="1"/>
  <c r="Q49" i="2"/>
  <c r="Q113" i="2" s="1"/>
  <c r="M12" i="2"/>
  <c r="L126" i="2"/>
  <c r="L13" i="2"/>
  <c r="K126" i="2"/>
  <c r="K13" i="2"/>
  <c r="J126" i="2"/>
  <c r="J13" i="2"/>
  <c r="L26" i="2"/>
  <c r="J26" i="2"/>
  <c r="K26" i="2"/>
  <c r="K25" i="2"/>
  <c r="K10" i="2" s="1"/>
  <c r="L25" i="2"/>
  <c r="L11" i="2" s="1"/>
  <c r="J25" i="2"/>
  <c r="J11" i="2" s="1"/>
  <c r="J2" i="2"/>
  <c r="K4" i="3"/>
  <c r="K2" i="2" s="1"/>
  <c r="K46" i="3"/>
  <c r="K104" i="3"/>
  <c r="N12" i="2" l="1"/>
  <c r="O12" i="2" s="1"/>
  <c r="P12" i="2" s="1"/>
  <c r="Q12" i="2" s="1"/>
  <c r="M119" i="2"/>
  <c r="K9" i="2"/>
  <c r="K18" i="2"/>
  <c r="K19" i="2"/>
  <c r="L20" i="2"/>
  <c r="L8" i="2"/>
  <c r="L17" i="2"/>
  <c r="K14" i="2"/>
  <c r="L9" i="2"/>
  <c r="L18" i="2"/>
  <c r="L19" i="2"/>
  <c r="J20" i="2"/>
  <c r="J8" i="2"/>
  <c r="J17" i="2"/>
  <c r="J10" i="2"/>
  <c r="K20" i="2"/>
  <c r="K8" i="2"/>
  <c r="K17" i="2"/>
  <c r="J9" i="2"/>
  <c r="J18" i="2"/>
  <c r="J19" i="2"/>
  <c r="K11" i="2"/>
  <c r="M11" i="2" s="1"/>
  <c r="N11" i="2" s="1"/>
  <c r="O11" i="2" s="1"/>
  <c r="P11" i="2" s="1"/>
  <c r="Q11" i="2" s="1"/>
  <c r="L10" i="2"/>
  <c r="L14" i="2"/>
  <c r="J14" i="2"/>
  <c r="K27" i="2"/>
  <c r="K31" i="2" s="1"/>
  <c r="K33" i="2" s="1"/>
  <c r="K36" i="2" s="1"/>
  <c r="J27" i="2"/>
  <c r="J31" i="2" s="1"/>
  <c r="J33" i="2" s="1"/>
  <c r="J36" i="2" s="1"/>
  <c r="L27" i="2"/>
  <c r="L31" i="2" s="1"/>
  <c r="L33" i="2" s="1"/>
  <c r="L36" i="2" s="1"/>
  <c r="L166" i="3"/>
  <c r="L104" i="3"/>
  <c r="M104" i="3" s="1"/>
  <c r="N104" i="3" s="1"/>
  <c r="O104" i="3" s="1"/>
  <c r="P104" i="3" s="1"/>
  <c r="Q104" i="3" s="1"/>
  <c r="L46" i="3"/>
  <c r="M46" i="3" s="1"/>
  <c r="N46" i="3" s="1"/>
  <c r="O46" i="3" s="1"/>
  <c r="P46" i="3" s="1"/>
  <c r="Q46" i="3" s="1"/>
  <c r="L4" i="3"/>
  <c r="M19" i="2" l="1"/>
  <c r="N19" i="2" s="1"/>
  <c r="O19" i="2" s="1"/>
  <c r="P19" i="2" s="1"/>
  <c r="Q19" i="2" s="1"/>
  <c r="M18" i="2"/>
  <c r="N18" i="2" s="1"/>
  <c r="O18" i="2" s="1"/>
  <c r="P18" i="2" s="1"/>
  <c r="Q18" i="2" s="1"/>
  <c r="N13" i="2"/>
  <c r="M126" i="2"/>
  <c r="M80" i="2"/>
  <c r="M32" i="2"/>
  <c r="M10" i="2"/>
  <c r="N10" i="2" s="1"/>
  <c r="O10" i="2" s="1"/>
  <c r="P10" i="2" s="1"/>
  <c r="Q10" i="2" s="1"/>
  <c r="M17" i="2"/>
  <c r="N17" i="2" s="1"/>
  <c r="O17" i="2" s="1"/>
  <c r="P17" i="2" s="1"/>
  <c r="Q17" i="2" s="1"/>
  <c r="E5" i="6"/>
  <c r="H5" i="6" s="1"/>
  <c r="I5" i="6" s="1"/>
  <c r="J5" i="6" s="1"/>
  <c r="K5" i="6" s="1"/>
  <c r="L5" i="6" s="1"/>
  <c r="M5" i="6" s="1"/>
  <c r="M9" i="2"/>
  <c r="N9" i="2" s="1"/>
  <c r="O9" i="2" s="1"/>
  <c r="P9" i="2" s="1"/>
  <c r="Q9" i="2" s="1"/>
  <c r="J38" i="2"/>
  <c r="J16" i="2" s="1"/>
  <c r="J15" i="2"/>
  <c r="L38" i="2"/>
  <c r="L16" i="2" s="1"/>
  <c r="L15" i="2"/>
  <c r="E7" i="6"/>
  <c r="H7" i="6" s="1"/>
  <c r="H6" i="6"/>
  <c r="I6" i="6" s="1"/>
  <c r="J6" i="6" s="1"/>
  <c r="K6" i="6" s="1"/>
  <c r="L6" i="6" s="1"/>
  <c r="K38" i="2"/>
  <c r="K16" i="2" s="1"/>
  <c r="K15" i="2"/>
  <c r="M4" i="3"/>
  <c r="L2" i="2"/>
  <c r="M8" i="2" l="1" a="1"/>
  <c r="M98" i="2"/>
  <c r="M34" i="2"/>
  <c r="O13" i="2"/>
  <c r="N126" i="2"/>
  <c r="I7" i="6"/>
  <c r="J7" i="6" s="1"/>
  <c r="K7" i="6" s="1"/>
  <c r="L7" i="6" s="1"/>
  <c r="M7" i="6" s="1"/>
  <c r="R8" i="2" s="1" a="1"/>
  <c r="R8" i="2" s="1"/>
  <c r="M15" i="2"/>
  <c r="N15" i="2" s="1"/>
  <c r="O15" i="2" s="1"/>
  <c r="P15" i="2" s="1"/>
  <c r="Q15" i="2" s="1"/>
  <c r="M16" i="2"/>
  <c r="N16" i="2" s="1"/>
  <c r="O16" i="2" s="1"/>
  <c r="P16" i="2" s="1"/>
  <c r="Q16" i="2" s="1"/>
  <c r="N4" i="3"/>
  <c r="M2" i="2"/>
  <c r="Q8" i="2" l="1"/>
  <c r="O8" i="2"/>
  <c r="P8" i="2"/>
  <c r="N8" i="2"/>
  <c r="M8" i="2"/>
  <c r="N98" i="2"/>
  <c r="N34" i="2"/>
  <c r="P13" i="2"/>
  <c r="O126" i="2"/>
  <c r="O4" i="3"/>
  <c r="N2" i="2"/>
  <c r="O98" i="2" l="1"/>
  <c r="O34" i="2"/>
  <c r="Q13" i="2"/>
  <c r="Q126" i="2" s="1"/>
  <c r="P126" i="2"/>
  <c r="M25" i="2"/>
  <c r="M35" i="2" s="1"/>
  <c r="P4" i="3"/>
  <c r="O2" i="2"/>
  <c r="P98" i="2" l="1"/>
  <c r="P34" i="2"/>
  <c r="Q98" i="2"/>
  <c r="Q34" i="2"/>
  <c r="M92" i="2"/>
  <c r="M81" i="2"/>
  <c r="M47" i="2"/>
  <c r="N25" i="2"/>
  <c r="N35" i="2" s="1"/>
  <c r="M26" i="2"/>
  <c r="M27" i="2" s="1"/>
  <c r="M29" i="2"/>
  <c r="M30" i="2"/>
  <c r="Q4" i="3"/>
  <c r="Q2" i="2" s="1"/>
  <c r="P2" i="2"/>
  <c r="M48" i="2" l="1"/>
  <c r="M61" i="2"/>
  <c r="M110" i="2"/>
  <c r="N47" i="2"/>
  <c r="N110" i="2" s="1"/>
  <c r="M31" i="2"/>
  <c r="M33" i="2" s="1"/>
  <c r="M36" i="2" s="1"/>
  <c r="O25" i="2"/>
  <c r="O35" i="2" s="1"/>
  <c r="N26" i="2"/>
  <c r="N30" i="2"/>
  <c r="N29" i="2"/>
  <c r="M112" i="2" l="1"/>
  <c r="M66" i="2"/>
  <c r="N27" i="2"/>
  <c r="N31" i="2" s="1"/>
  <c r="N61" i="2"/>
  <c r="N48" i="2"/>
  <c r="N111" i="2" s="1"/>
  <c r="M111" i="2"/>
  <c r="N92" i="2"/>
  <c r="N81" i="2"/>
  <c r="M37" i="2"/>
  <c r="M38" i="2" s="1"/>
  <c r="O47" i="2"/>
  <c r="P25" i="2"/>
  <c r="P35" i="2" s="1"/>
  <c r="O29" i="2"/>
  <c r="O26" i="2"/>
  <c r="O30" i="2"/>
  <c r="M114" i="2" l="1"/>
  <c r="M82" i="2" s="1"/>
  <c r="M99" i="2"/>
  <c r="M101" i="2" s="1"/>
  <c r="N112" i="2"/>
  <c r="N114" i="2" s="1"/>
  <c r="N66" i="2"/>
  <c r="O27" i="2"/>
  <c r="O31" i="2" s="1"/>
  <c r="O61" i="2"/>
  <c r="O48" i="2"/>
  <c r="O111" i="2" s="1"/>
  <c r="O110" i="2"/>
  <c r="M79" i="2"/>
  <c r="O92" i="2"/>
  <c r="O81" i="2"/>
  <c r="P47" i="2"/>
  <c r="Q25" i="2"/>
  <c r="P26" i="2"/>
  <c r="P30" i="2"/>
  <c r="P29" i="2"/>
  <c r="Q35" i="2" l="1"/>
  <c r="R25" i="2"/>
  <c r="N82" i="2"/>
  <c r="I151" i="2"/>
  <c r="M69" i="2"/>
  <c r="M70" i="2" s="1"/>
  <c r="M72" i="2" s="1"/>
  <c r="M83" i="2"/>
  <c r="P27" i="2"/>
  <c r="P31" i="2" s="1"/>
  <c r="P61" i="2"/>
  <c r="P48" i="2"/>
  <c r="O112" i="2"/>
  <c r="O114" i="2" s="1"/>
  <c r="O66" i="2"/>
  <c r="P110" i="2"/>
  <c r="P92" i="2"/>
  <c r="P81" i="2"/>
  <c r="Q47" i="2"/>
  <c r="Q26" i="2"/>
  <c r="Q30" i="2"/>
  <c r="Q29" i="2"/>
  <c r="Q110" i="2" l="1"/>
  <c r="R30" i="2"/>
  <c r="R47" i="2"/>
  <c r="R110" i="2" s="1"/>
  <c r="R29" i="2"/>
  <c r="R35" i="2"/>
  <c r="R26" i="2"/>
  <c r="R118" i="2"/>
  <c r="O82" i="2"/>
  <c r="J151" i="2"/>
  <c r="P112" i="2"/>
  <c r="P66" i="2"/>
  <c r="P111" i="2"/>
  <c r="Q27" i="2"/>
  <c r="Q31" i="2" s="1"/>
  <c r="Q61" i="2"/>
  <c r="Q48" i="2"/>
  <c r="Q92" i="2"/>
  <c r="Q81" i="2"/>
  <c r="R86" i="2" l="1"/>
  <c r="M150" i="2"/>
  <c r="Q111" i="2"/>
  <c r="R92" i="2"/>
  <c r="R81" i="2"/>
  <c r="R61" i="2"/>
  <c r="R48" i="2"/>
  <c r="R111" i="2" s="1"/>
  <c r="R27" i="2"/>
  <c r="R31" i="2" s="1"/>
  <c r="P114" i="2"/>
  <c r="Q112" i="2"/>
  <c r="Q66" i="2"/>
  <c r="Q114" i="2" l="1"/>
  <c r="R93" i="2"/>
  <c r="R112" i="2"/>
  <c r="R114" i="2" s="1"/>
  <c r="R66" i="2"/>
  <c r="Q82" i="2"/>
  <c r="L151" i="2"/>
  <c r="P82" i="2"/>
  <c r="K151" i="2"/>
  <c r="N118" i="2"/>
  <c r="P118" i="2"/>
  <c r="O118" i="2"/>
  <c r="Q118" i="2"/>
  <c r="M118" i="2"/>
  <c r="M86" i="2" s="1"/>
  <c r="M93" i="2" s="1"/>
  <c r="M103" i="2" s="1"/>
  <c r="M105" i="2" s="1"/>
  <c r="R82" i="2" l="1"/>
  <c r="M151" i="2"/>
  <c r="M120" i="2"/>
  <c r="N86" i="2"/>
  <c r="N93" i="2" s="1"/>
  <c r="I150" i="2"/>
  <c r="O86" i="2"/>
  <c r="O93" i="2" s="1"/>
  <c r="J150" i="2"/>
  <c r="Q86" i="2"/>
  <c r="Q93" i="2" s="1"/>
  <c r="L150" i="2"/>
  <c r="P86" i="2"/>
  <c r="P93" i="2" s="1"/>
  <c r="K150" i="2"/>
  <c r="N104" i="2"/>
  <c r="M45" i="2"/>
  <c r="M52" i="2" l="1"/>
  <c r="M56" i="2" s="1"/>
  <c r="M74" i="2" s="1"/>
  <c r="M3" i="2" s="1"/>
  <c r="N117" i="2"/>
  <c r="N119" i="2" l="1"/>
  <c r="N120" i="2" s="1"/>
  <c r="O117" i="2" l="1"/>
  <c r="O119" i="2" s="1"/>
  <c r="O120" i="2" s="1"/>
  <c r="O52" i="2" s="1"/>
  <c r="N52" i="2"/>
  <c r="N80" i="2"/>
  <c r="I149" i="2" s="1"/>
  <c r="N32" i="2"/>
  <c r="N33" i="2" s="1"/>
  <c r="O80" i="2" l="1"/>
  <c r="J149" i="2" s="1"/>
  <c r="P117" i="2"/>
  <c r="P119" i="2" s="1"/>
  <c r="P120" i="2" s="1"/>
  <c r="N36" i="2"/>
  <c r="N37" i="2" s="1"/>
  <c r="N38" i="2" s="1"/>
  <c r="I146" i="2"/>
  <c r="O32" i="2"/>
  <c r="O33" i="2" s="1"/>
  <c r="O36" i="2" s="1"/>
  <c r="O37" i="2" s="1"/>
  <c r="J146" i="2" l="1"/>
  <c r="J147" i="2" s="1"/>
  <c r="J148" i="2" s="1"/>
  <c r="J152" i="2" s="1"/>
  <c r="J154" i="2" s="1"/>
  <c r="O38" i="2"/>
  <c r="O99" i="2" s="1"/>
  <c r="O101" i="2" s="1"/>
  <c r="R142" i="2"/>
  <c r="I147" i="2"/>
  <c r="I148" i="2" s="1"/>
  <c r="I152" i="2" s="1"/>
  <c r="I154" i="2" s="1"/>
  <c r="N99" i="2"/>
  <c r="N101" i="2" s="1"/>
  <c r="N79" i="2"/>
  <c r="N83" i="2" s="1"/>
  <c r="N103" i="2" s="1"/>
  <c r="N105" i="2" s="1"/>
  <c r="P52" i="2"/>
  <c r="Q117" i="2"/>
  <c r="P80" i="2"/>
  <c r="K149" i="2" s="1"/>
  <c r="P32" i="2"/>
  <c r="P33" i="2" s="1"/>
  <c r="O79" i="2" l="1"/>
  <c r="O83" i="2" s="1"/>
  <c r="O103" i="2" s="1"/>
  <c r="O104" i="2"/>
  <c r="N45" i="2"/>
  <c r="N56" i="2" s="1"/>
  <c r="N69" i="2"/>
  <c r="N70" i="2" s="1"/>
  <c r="N72" i="2" s="1"/>
  <c r="P36" i="2"/>
  <c r="P37" i="2" s="1"/>
  <c r="P38" i="2" s="1"/>
  <c r="K146" i="2"/>
  <c r="Q119" i="2"/>
  <c r="O69" i="2" l="1"/>
  <c r="O70" i="2" s="1"/>
  <c r="O72" i="2" s="1"/>
  <c r="N74" i="2"/>
  <c r="N3" i="2" s="1"/>
  <c r="O105" i="2"/>
  <c r="O45" i="2" s="1"/>
  <c r="O56" i="2" s="1"/>
  <c r="K147" i="2"/>
  <c r="K148" i="2" s="1"/>
  <c r="K152" i="2" s="1"/>
  <c r="K154" i="2" s="1"/>
  <c r="Q80" i="2"/>
  <c r="L149" i="2" s="1"/>
  <c r="Q32" i="2"/>
  <c r="Q33" i="2" s="1"/>
  <c r="Q120" i="2"/>
  <c r="P99" i="2"/>
  <c r="P101" i="2" s="1"/>
  <c r="P79" i="2"/>
  <c r="P83" i="2" s="1"/>
  <c r="O74" i="2" l="1"/>
  <c r="O3" i="2" s="1"/>
  <c r="Q52" i="2"/>
  <c r="R117" i="2"/>
  <c r="P104" i="2"/>
  <c r="P103" i="2"/>
  <c r="P105" i="2" s="1"/>
  <c r="P45" i="2" s="1"/>
  <c r="P56" i="2" s="1"/>
  <c r="Q36" i="2"/>
  <c r="Q37" i="2" s="1"/>
  <c r="L146" i="2"/>
  <c r="P69" i="2"/>
  <c r="P70" i="2" s="1"/>
  <c r="P72" i="2" s="1"/>
  <c r="Q104" i="2" l="1"/>
  <c r="R119" i="2"/>
  <c r="Q38" i="2"/>
  <c r="L147" i="2"/>
  <c r="L148" i="2" s="1"/>
  <c r="L152" i="2" s="1"/>
  <c r="L154" i="2" s="1"/>
  <c r="Q99" i="2"/>
  <c r="Q101" i="2" s="1"/>
  <c r="Q79" i="2"/>
  <c r="Q83" i="2" s="1"/>
  <c r="Q103" i="2" s="1"/>
  <c r="P74" i="2"/>
  <c r="P3" i="2" s="1"/>
  <c r="Q69" i="2"/>
  <c r="Q105" i="2" l="1"/>
  <c r="R80" i="2"/>
  <c r="M149" i="2" s="1"/>
  <c r="R32" i="2"/>
  <c r="R33" i="2" s="1"/>
  <c r="Q70" i="2"/>
  <c r="Q72" i="2" s="1"/>
  <c r="Q45" i="2"/>
  <c r="Q56" i="2" s="1"/>
  <c r="R104" i="2"/>
  <c r="R120" i="2"/>
  <c r="R52" i="2" s="1"/>
  <c r="R36" i="2" l="1"/>
  <c r="R37" i="2" s="1"/>
  <c r="R38" i="2" s="1"/>
  <c r="M146" i="2"/>
  <c r="Q74" i="2"/>
  <c r="Q3" i="2" s="1"/>
  <c r="M147" i="2" l="1"/>
  <c r="M148" i="2" s="1"/>
  <c r="M152" i="2" s="1"/>
  <c r="R99" i="2"/>
  <c r="R101" i="2" s="1"/>
  <c r="R79" i="2"/>
  <c r="R83" i="2" s="1"/>
  <c r="M154" i="2" l="1"/>
  <c r="R143" i="2"/>
  <c r="R144" i="2" s="1"/>
  <c r="N152" i="2" s="1"/>
  <c r="N154" i="2" s="1"/>
  <c r="R103" i="2"/>
  <c r="R105" i="2" s="1"/>
  <c r="R45" i="2" s="1"/>
  <c r="R56" i="2" s="1"/>
  <c r="R69" i="2"/>
  <c r="R70" i="2" s="1"/>
  <c r="R72" i="2" s="1"/>
  <c r="E158" i="2" l="1"/>
  <c r="E162" i="2" s="1"/>
  <c r="E164" i="2" s="1"/>
  <c r="R74" i="2"/>
  <c r="R3" i="2" s="1"/>
  <c r="I173" i="2" l="1"/>
  <c r="I182" i="2"/>
  <c r="O159" i="2"/>
  <c r="O160" i="2" s="1"/>
</calcChain>
</file>

<file path=xl/sharedStrings.xml><?xml version="1.0" encoding="utf-8"?>
<sst xmlns="http://schemas.openxmlformats.org/spreadsheetml/2006/main" count="587" uniqueCount="406">
  <si>
    <t>INCOME STATEMENT</t>
  </si>
  <si>
    <t>HISTORICAL FINANCIAL INFORMATION</t>
  </si>
  <si>
    <t>ACUTAAS CHEMICALS LIMITED</t>
  </si>
  <si>
    <t>Income</t>
  </si>
  <si>
    <t>Other Income</t>
  </si>
  <si>
    <t>Total Income</t>
  </si>
  <si>
    <t>Expenses</t>
  </si>
  <si>
    <t>Cost of materials consumed</t>
  </si>
  <si>
    <t>Employee benefits expense</t>
  </si>
  <si>
    <t>Finance costs</t>
  </si>
  <si>
    <t>Depreciation and amortization expense</t>
  </si>
  <si>
    <t>Other expenses</t>
  </si>
  <si>
    <t>Exceptional items</t>
  </si>
  <si>
    <t>Tax expense</t>
  </si>
  <si>
    <t>Current tax</t>
  </si>
  <si>
    <t>Deferred tax</t>
  </si>
  <si>
    <t>Owners of the company</t>
  </si>
  <si>
    <t>Non - controlling interest</t>
  </si>
  <si>
    <t>Exchange differences on translation of financial statements of foreign exchange</t>
  </si>
  <si>
    <t>Revenue from operations</t>
  </si>
  <si>
    <t>Changes in inventories of finished goods, stock in trade and work in progress</t>
  </si>
  <si>
    <t>Total expenses</t>
  </si>
  <si>
    <t>Profit before exceptional items and tax</t>
  </si>
  <si>
    <t>Profit before tax</t>
  </si>
  <si>
    <t>Total tax expense</t>
  </si>
  <si>
    <t>Profit after tax</t>
  </si>
  <si>
    <t>Other comprehensive income (OCI)</t>
  </si>
  <si>
    <t>Items that will not be reclassified to profit or loss</t>
  </si>
  <si>
    <t>Remeasurement of defined employee benefit plans</t>
  </si>
  <si>
    <t>Tax impact on items that will not be reclassified to of profit or loss</t>
  </si>
  <si>
    <t>Other comprehensive income, net of tax</t>
  </si>
  <si>
    <t>Total comprehensive income for the year</t>
  </si>
  <si>
    <t>Profit attributal to</t>
  </si>
  <si>
    <t>Other comprehensive income attributal to</t>
  </si>
  <si>
    <t>Earnings per equity share (Face value of ₹5 each)</t>
  </si>
  <si>
    <t>Basic (₹)</t>
  </si>
  <si>
    <t>Diluted (₹)</t>
  </si>
  <si>
    <t>BALANCE SHEET</t>
  </si>
  <si>
    <t>ASSETS</t>
  </si>
  <si>
    <t>Non-current assets</t>
  </si>
  <si>
    <t>Property, plant and equipment</t>
  </si>
  <si>
    <t>Capital work-in-progress</t>
  </si>
  <si>
    <t>Right-of-use assets</t>
  </si>
  <si>
    <t>Goodwill</t>
  </si>
  <si>
    <t>Intangible assets</t>
  </si>
  <si>
    <t>Financial Assets</t>
  </si>
  <si>
    <t>Income tax assets (net)</t>
  </si>
  <si>
    <t>Other non-current assets</t>
  </si>
  <si>
    <t>Total non-current assets</t>
  </si>
  <si>
    <t>Current assets</t>
  </si>
  <si>
    <t>Inventories</t>
  </si>
  <si>
    <t>Financial assets</t>
  </si>
  <si>
    <t>i) Trade receivables</t>
  </si>
  <si>
    <t>ii) Cash and cash equivalents</t>
  </si>
  <si>
    <t>iii) Bank balances other than cash and cash equivalents</t>
  </si>
  <si>
    <t>iv) Loans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</si>
  <si>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</si>
  <si>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</si>
  <si>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</si>
  <si>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</si>
  <si>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</si>
  <si>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</si>
  <si>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</si>
  <si>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Equity attributable to owners of the Company</t>
  </si>
  <si>
    <t>Non controlling interests</t>
  </si>
  <si>
    <t>Total equity</t>
  </si>
  <si>
    <t>Non-current liabilities</t>
  </si>
  <si>
    <t>Financial liabilities</t>
  </si>
  <si>
    <t>i) Borrowings</t>
  </si>
  <si>
    <t>ii) Lease liabilities</t>
  </si>
  <si>
    <t>Provisions</t>
  </si>
  <si>
    <t>Deferred tax liabilities (net)</t>
  </si>
  <si>
    <t>Total non-current liabilities</t>
  </si>
  <si>
    <t>Current liabilities</t>
  </si>
  <si>
    <t>ii) Trade payables</t>
  </si>
  <si>
    <t>a) Total outstanding dues of micro enterprises and small enterprises</t>
  </si>
  <si>
    <t>b) Total outstanding dues of other than micro enterprises and small enterprises</t>
  </si>
  <si>
    <t>Other current liabilities</t>
  </si>
  <si>
    <t>Total current liabilities</t>
  </si>
  <si>
    <t>Total liabilities</t>
  </si>
  <si>
    <t>Total equity and liabilities</t>
  </si>
  <si>
    <t>CASHFLOW STATEMENT</t>
  </si>
  <si>
    <t>CASH FLOWS FROM OPERATING ACTIVITIES</t>
  </si>
  <si>
    <t>Profit before Tax</t>
  </si>
  <si>
    <t>Adjustments for:</t>
  </si>
  <si>
    <t>Depreciation and amortisation</t>
  </si>
  <si>
    <t>(Gain)/Loss on disposal of property, plant and equipment</t>
  </si>
  <si>
    <t>Bad debts, provision for trade receivables and advances</t>
  </si>
  <si>
    <t>Interest paid</t>
  </si>
  <si>
    <t>Interest Income</t>
  </si>
  <si>
    <t>Employee compensation expenses</t>
  </si>
  <si>
    <t>Dividend income</t>
  </si>
  <si>
    <t>Unrealised (gain) / loss</t>
  </si>
  <si>
    <t>Sundry Balances Written off</t>
  </si>
  <si>
    <t>Provision for impariment of investment</t>
  </si>
  <si>
    <t>Operating profit before working capital changes</t>
  </si>
  <si>
    <t>Movement in working capital</t>
  </si>
  <si>
    <t>(increase) / decrease in trade receivables</t>
  </si>
  <si>
    <t>(increase) / decrease in loans &amp; advances</t>
  </si>
  <si>
    <t>(increase) / decrease in other financial assets</t>
  </si>
  <si>
    <t>(increase) / decrease in inventories</t>
  </si>
  <si>
    <t>(increase) / decrease in other current assets</t>
  </si>
  <si>
    <t>Increase / (decrease) in trade payables</t>
  </si>
  <si>
    <t>Increase / (decrease) in other liabilities</t>
  </si>
  <si>
    <t>Increase / (decrease) in provisions</t>
  </si>
  <si>
    <t>Cash generated from operations</t>
  </si>
  <si>
    <t>Income tax paid (net)</t>
  </si>
  <si>
    <t>Net cash (used)/generated by operating activities</t>
  </si>
  <si>
    <t>CASH FLOWS FROM INVESTING ACTIVITIES</t>
  </si>
  <si>
    <t>(including CWIP, intangible assets and including capital advances)</t>
  </si>
  <si>
    <t>Purchase of Investment</t>
  </si>
  <si>
    <t>Dividend received</t>
  </si>
  <si>
    <t>Interest received</t>
  </si>
  <si>
    <t>Net cash (used in) / generated by investing activities</t>
  </si>
  <si>
    <t>CASH FLOWS FROM FINANCING ACTIVITIES</t>
  </si>
  <si>
    <t>Net Proceeds / (Repayment) from long term borrowings</t>
  </si>
  <si>
    <t>Net Proceeds / (Repayment) from short term borrowings</t>
  </si>
  <si>
    <t>Repayment of lease liabilities</t>
  </si>
  <si>
    <t>Withdrawal of partners capital</t>
  </si>
  <si>
    <t>Dividend paid (including tax on dividend)</t>
  </si>
  <si>
    <t>Issue of equity shares</t>
  </si>
  <si>
    <t>Realisation on final settlement of IPO expenses</t>
  </si>
  <si>
    <t>Share issue expense</t>
  </si>
  <si>
    <t>Net cash (used)/generated in financing activities</t>
  </si>
  <si>
    <t>Cash and cash equivalents at the beginning of the year</t>
  </si>
  <si>
    <t>Exchange gain loss on Cash and cash equivalents</t>
  </si>
  <si>
    <t>Cash and cash equivalents at the end of the year</t>
  </si>
  <si>
    <t>Net increase / (decrease) in cash and cash equivalents (A+B+C)</t>
  </si>
  <si>
    <t>SEGMENTED REVENUE</t>
  </si>
  <si>
    <t>In India</t>
  </si>
  <si>
    <t>Outside India</t>
  </si>
  <si>
    <t>Total</t>
  </si>
  <si>
    <t>Intangible assets under development</t>
  </si>
  <si>
    <t>Other financial assets</t>
  </si>
  <si>
    <t>Investments</t>
  </si>
  <si>
    <t>Loans</t>
  </si>
  <si>
    <t>v) Current Tax Assets (Net)</t>
  </si>
  <si>
    <t>-</t>
  </si>
  <si>
    <t>Exchange Fluctuation on change on equity instruments</t>
  </si>
  <si>
    <t>Right of Use Asset</t>
  </si>
  <si>
    <t>Change in other non current assets</t>
  </si>
  <si>
    <t>Investment in fixed deposit not considered as cash or cash equivalents</t>
  </si>
  <si>
    <t xml:space="preserve"> Sales </t>
  </si>
  <si>
    <t xml:space="preserve"> Expenses </t>
  </si>
  <si>
    <t xml:space="preserve"> Other Income </t>
  </si>
  <si>
    <t xml:space="preserve"> Depreciation </t>
  </si>
  <si>
    <t xml:space="preserve"> Interest </t>
  </si>
  <si>
    <t xml:space="preserve"> Profit before tax </t>
  </si>
  <si>
    <t xml:space="preserve"> Tax </t>
  </si>
  <si>
    <t xml:space="preserve"> Net profit </t>
  </si>
  <si>
    <t xml:space="preserve"> Operating Profit </t>
  </si>
  <si>
    <t>QUARTERLY FINANCIALS</t>
  </si>
  <si>
    <t>FINANCIAL STATEMENTS &amp; DCF ANALYSIS</t>
  </si>
  <si>
    <t>HISTORICAL PERIOD</t>
  </si>
  <si>
    <t>FORECAST PERIOD</t>
  </si>
  <si>
    <t>INCOME</t>
  </si>
  <si>
    <t>₹ IN LAKHS</t>
  </si>
  <si>
    <t>GROSS PROFIT</t>
  </si>
  <si>
    <t>EBITDA</t>
  </si>
  <si>
    <t>EBIT</t>
  </si>
  <si>
    <t>Interest</t>
  </si>
  <si>
    <t>Other SG&amp;A expenses</t>
  </si>
  <si>
    <t>Salaries and Benefits</t>
  </si>
  <si>
    <t>Cost Of Goods Sold</t>
  </si>
  <si>
    <t>Revenue</t>
  </si>
  <si>
    <t>Other Income (Expenses)</t>
  </si>
  <si>
    <t>Earnings Before Tax</t>
  </si>
  <si>
    <t>Taxes</t>
  </si>
  <si>
    <t>Net earnings</t>
  </si>
  <si>
    <t>Nominal value of equity shares</t>
  </si>
  <si>
    <t>Current Tax Liability (Net)</t>
  </si>
  <si>
    <t xml:space="preserve">Purchase of property, plant and equipment </t>
  </si>
  <si>
    <t>Proceeds from sale of Property, plant and equipment (Including Capital WIP &amp;</t>
  </si>
  <si>
    <t>Intangible Assets)</t>
  </si>
  <si>
    <t>ASSESTS</t>
  </si>
  <si>
    <t>Current assests</t>
  </si>
  <si>
    <t>Cash</t>
  </si>
  <si>
    <t>Bank deposits</t>
  </si>
  <si>
    <t>Accounts receivables</t>
  </si>
  <si>
    <t>Inventory</t>
  </si>
  <si>
    <t>Other current assests</t>
  </si>
  <si>
    <t>Non current assests</t>
  </si>
  <si>
    <t>Property and equipment</t>
  </si>
  <si>
    <t>Financial assests</t>
  </si>
  <si>
    <t>Other non current assests</t>
  </si>
  <si>
    <t>Total Assets</t>
  </si>
  <si>
    <t>LIABILITIES</t>
  </si>
  <si>
    <t>Current Liabilities</t>
  </si>
  <si>
    <t>Account Payables</t>
  </si>
  <si>
    <t>Non Current Liabilities</t>
  </si>
  <si>
    <t>Debt</t>
  </si>
  <si>
    <t>Other non current liabilities</t>
  </si>
  <si>
    <t>Total Liabilities</t>
  </si>
  <si>
    <t>Shareholder's Equity</t>
  </si>
  <si>
    <t>Equity Capital</t>
  </si>
  <si>
    <t>Retained earnings</t>
  </si>
  <si>
    <t>Total Shareholder's Equity</t>
  </si>
  <si>
    <t>Total Liabilities &amp; Shareholder's Equity</t>
  </si>
  <si>
    <t>Check</t>
  </si>
  <si>
    <t>Master check</t>
  </si>
  <si>
    <t>Operating Cashflow</t>
  </si>
  <si>
    <t>Plus: Depreciation and amortisation</t>
  </si>
  <si>
    <t>Plus/less: Adjustments for non operating items</t>
  </si>
  <si>
    <t>Plus/less: Adjustments for Operating assets&amp; liabilities (WC)</t>
  </si>
  <si>
    <t>Cash from operations</t>
  </si>
  <si>
    <t>Investing Cashflow</t>
  </si>
  <si>
    <t>Investments in Property &amp; Equipment</t>
  </si>
  <si>
    <t>Purchase/ investments in FD</t>
  </si>
  <si>
    <t xml:space="preserve">Cash from investing </t>
  </si>
  <si>
    <t>Financing Cashflow</t>
  </si>
  <si>
    <t>Issuance(Repayment) of debt</t>
  </si>
  <si>
    <t>Issue of equity shares/ expenses</t>
  </si>
  <si>
    <t>Dividend paid</t>
  </si>
  <si>
    <t>Operating Cash Balance</t>
  </si>
  <si>
    <t>Closing Cash Balance</t>
  </si>
  <si>
    <t>Subtotal of Adjustments</t>
  </si>
  <si>
    <t>Sale of property, plant and equipment</t>
  </si>
  <si>
    <t xml:space="preserve">Cash from financing </t>
  </si>
  <si>
    <t>SUPPORTING SCHEDULES</t>
  </si>
  <si>
    <t>Working Capital</t>
  </si>
  <si>
    <t>Account receivables</t>
  </si>
  <si>
    <t>Account Payable</t>
  </si>
  <si>
    <t>Others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</si>
  <si>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</si>
  <si>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</si>
  <si>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</si>
  <si>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</si>
  <si>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</si>
  <si>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</si>
  <si>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</si>
  <si>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</si>
  <si>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</si>
  <si>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</si>
  <si>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RATIO &amp; ASSUMPTIONS</t>
  </si>
  <si>
    <t>LIVE SCENARIO</t>
  </si>
  <si>
    <t>Revenue growth</t>
  </si>
  <si>
    <t>Costs of goods sold (% of revenue)</t>
  </si>
  <si>
    <t>Salaries and Benefits (% of revenue)</t>
  </si>
  <si>
    <t>Other SG&amp;A expenses (% of revenue)</t>
  </si>
  <si>
    <t>Depreciation and amortization expense (% of PP&amp;E)</t>
  </si>
  <si>
    <t>Interest (% of debt)</t>
  </si>
  <si>
    <t>Other Income (Expenses) (% of revenue)</t>
  </si>
  <si>
    <t>Tax rate (% of earnings before tax)</t>
  </si>
  <si>
    <t>Dividends payout</t>
  </si>
  <si>
    <t>Accounts receivable</t>
  </si>
  <si>
    <t>Accounts payable</t>
  </si>
  <si>
    <t>Capital Asset Turnover Ratio</t>
  </si>
  <si>
    <t>Units</t>
  </si>
  <si>
    <t>%</t>
  </si>
  <si>
    <t>Days</t>
  </si>
  <si>
    <t>Times</t>
  </si>
  <si>
    <t>SCENARIOS</t>
  </si>
  <si>
    <t>Scenarios</t>
  </si>
  <si>
    <t>Base Case</t>
  </si>
  <si>
    <t>Bull Case</t>
  </si>
  <si>
    <t>Bear Case</t>
  </si>
  <si>
    <t>Annual Growth Tapering</t>
  </si>
  <si>
    <t xml:space="preserve"> Growth %</t>
  </si>
  <si>
    <t>QOQ growth (%)</t>
  </si>
  <si>
    <t>01-03-2026E</t>
  </si>
  <si>
    <t>2026E</t>
  </si>
  <si>
    <t>CAGR</t>
  </si>
  <si>
    <t>EXPENSES</t>
  </si>
  <si>
    <t>COMPS VALUATION</t>
  </si>
  <si>
    <t>COMPS DATA</t>
  </si>
  <si>
    <t>Company</t>
  </si>
  <si>
    <t>Ticker</t>
  </si>
  <si>
    <t>Price</t>
  </si>
  <si>
    <t>Shares</t>
  </si>
  <si>
    <t>Sales</t>
  </si>
  <si>
    <t>Tax %</t>
  </si>
  <si>
    <t>Acutaas Chemicals Limited</t>
  </si>
  <si>
    <t>ACUTAAS</t>
  </si>
  <si>
    <t>Neuland Laboratories Limited</t>
  </si>
  <si>
    <t>Ipca Laboratories Limited</t>
  </si>
  <si>
    <t>Granules India Limited</t>
  </si>
  <si>
    <t>Laurus Labs Limited</t>
  </si>
  <si>
    <t>524558</t>
  </si>
  <si>
    <t>IPCALAB</t>
  </si>
  <si>
    <t>532482</t>
  </si>
  <si>
    <t>LAURUSLABS</t>
  </si>
  <si>
    <t>Debt (MM)</t>
  </si>
  <si>
    <t>Cash (MM)</t>
  </si>
  <si>
    <t>Sales (MM)</t>
  </si>
  <si>
    <t>EBITDA (MM)</t>
  </si>
  <si>
    <t>Net Income (MM)</t>
  </si>
  <si>
    <t>Shares (M)</t>
  </si>
  <si>
    <t>Company Name</t>
  </si>
  <si>
    <t>Source: www.finchat.io</t>
  </si>
  <si>
    <t>Market Cap</t>
  </si>
  <si>
    <t>(₹/Share)</t>
  </si>
  <si>
    <t>EV</t>
  </si>
  <si>
    <t>₹ Lakhs</t>
  </si>
  <si>
    <t xml:space="preserve">Cash &amp; </t>
  </si>
  <si>
    <t>Equivalents</t>
  </si>
  <si>
    <t>MARKET DATA</t>
  </si>
  <si>
    <t>Earnings</t>
  </si>
  <si>
    <t>FINANCIAL DATA</t>
  </si>
  <si>
    <t>EV/EBITDA</t>
  </si>
  <si>
    <t>EV/Sales</t>
  </si>
  <si>
    <t>P/E</t>
  </si>
  <si>
    <t>x</t>
  </si>
  <si>
    <t>VALUATION</t>
  </si>
  <si>
    <t>Lakhs</t>
  </si>
  <si>
    <t>Average</t>
  </si>
  <si>
    <t>Median</t>
  </si>
  <si>
    <t>Metric</t>
  </si>
  <si>
    <t>Comps</t>
  </si>
  <si>
    <t>Net Debt</t>
  </si>
  <si>
    <t>Equity Value</t>
  </si>
  <si>
    <t>Share Price</t>
  </si>
  <si>
    <t>EV/Revenue</t>
  </si>
  <si>
    <t>EQUITY MARKET RETURN</t>
  </si>
  <si>
    <t>DATE</t>
  </si>
  <si>
    <t>INDEX</t>
  </si>
  <si>
    <t>CLOSE PRICE</t>
  </si>
  <si>
    <t>YEARFRAC</t>
  </si>
  <si>
    <t>MARKET RETURN</t>
  </si>
  <si>
    <t>NIFTY50 TRI</t>
  </si>
  <si>
    <t>WEIGHTED-AVERAGE COST OF CAPITAL (WACC)</t>
  </si>
  <si>
    <t>ALL AMOUNTS DENOMINATED IN INR LAKHS</t>
  </si>
  <si>
    <t>COMPARABLE COMPANIES BETA</t>
  </si>
  <si>
    <t>Value</t>
  </si>
  <si>
    <t>Debt/</t>
  </si>
  <si>
    <t>Capital</t>
  </si>
  <si>
    <t xml:space="preserve">Tax </t>
  </si>
  <si>
    <t>Rate %</t>
  </si>
  <si>
    <t>Levered</t>
  </si>
  <si>
    <t>Beta</t>
  </si>
  <si>
    <t>Unlevered</t>
  </si>
  <si>
    <t>AVERAGE</t>
  </si>
  <si>
    <t>MEDIAN</t>
  </si>
  <si>
    <t>WACC CALCULATION</t>
  </si>
  <si>
    <t>Target Capital Structure</t>
  </si>
  <si>
    <t>Proportion of Debt</t>
  </si>
  <si>
    <t>Proportion of Equity</t>
  </si>
  <si>
    <t>Current Capital Structure</t>
  </si>
  <si>
    <t>Total Debt</t>
  </si>
  <si>
    <t>Debt/Equity</t>
  </si>
  <si>
    <t>Cost of Debt</t>
  </si>
  <si>
    <t>Tax Rate</t>
  </si>
  <si>
    <t>Pre-Tax Cost Of Debt</t>
  </si>
  <si>
    <t>After Cost of Debt</t>
  </si>
  <si>
    <t>Cost of Equity</t>
  </si>
  <si>
    <t>Risk Free Rate</t>
  </si>
  <si>
    <t>Equity Market Return</t>
  </si>
  <si>
    <t>Equity Risk Premium</t>
  </si>
  <si>
    <t>Levered Equity Beta</t>
  </si>
  <si>
    <t>Cost Of Equity</t>
  </si>
  <si>
    <t>WACC</t>
  </si>
  <si>
    <t xml:space="preserve"> </t>
  </si>
  <si>
    <t>% CHANGE</t>
  </si>
  <si>
    <t>MONTHLY</t>
  </si>
  <si>
    <t>STOCK</t>
  </si>
  <si>
    <t>BETA</t>
  </si>
  <si>
    <t>MIN</t>
  </si>
  <si>
    <t>MAX</t>
  </si>
  <si>
    <t>DCF MODEL</t>
  </si>
  <si>
    <t>Assumptions</t>
  </si>
  <si>
    <t>Transaction Date</t>
  </si>
  <si>
    <t>Fiscal Year End</t>
  </si>
  <si>
    <t>EV/EBITDA Multiple</t>
  </si>
  <si>
    <t>Perpetual Growth Rate</t>
  </si>
  <si>
    <t>Discount Rate</t>
  </si>
  <si>
    <t>Shares Outstanding</t>
  </si>
  <si>
    <t>Current Price</t>
  </si>
  <si>
    <t>Discounted Cash Flow</t>
  </si>
  <si>
    <t>Entry</t>
  </si>
  <si>
    <t>Exit</t>
  </si>
  <si>
    <t>Date</t>
  </si>
  <si>
    <t>Time Periods</t>
  </si>
  <si>
    <t>Year Frac</t>
  </si>
  <si>
    <t>Less: Cash Taxes</t>
  </si>
  <si>
    <t>NOPAT</t>
  </si>
  <si>
    <t>Plus: Depreciation &amp; Amortization</t>
  </si>
  <si>
    <t>Less: Capex</t>
  </si>
  <si>
    <t>Less: Changes in NWC</t>
  </si>
  <si>
    <t>Unlevered FCFF</t>
  </si>
  <si>
    <t>Transcation FCFF</t>
  </si>
  <si>
    <t>Terminal Value</t>
  </si>
  <si>
    <t>Perpetual growth</t>
  </si>
  <si>
    <t>Market Value</t>
  </si>
  <si>
    <t>Intrinsic Value</t>
  </si>
  <si>
    <t>Rate Of Return</t>
  </si>
  <si>
    <t>Enterprise Value</t>
  </si>
  <si>
    <t>Plus: Cash &amp; Equivalents</t>
  </si>
  <si>
    <t>Less: Debt</t>
  </si>
  <si>
    <t>Equity Value/Share</t>
  </si>
  <si>
    <t>Less: Non Controlling Interest</t>
  </si>
  <si>
    <t>Plus: Debt</t>
  </si>
  <si>
    <t>Plus: Non Controlling Interest</t>
  </si>
  <si>
    <t>Less: Cash &amp; Equivalents</t>
  </si>
  <si>
    <t>Target Price</t>
  </si>
  <si>
    <t>TP Upside</t>
  </si>
  <si>
    <t>SENSITIVITY ANALYSIS</t>
  </si>
  <si>
    <t>Sensitivities- Intrinsic Value (Rs/Share)</t>
  </si>
  <si>
    <t>Exit Multiple</t>
  </si>
  <si>
    <t>VALUATION SUMMARY- FOOTBALL FIELD</t>
  </si>
  <si>
    <t>Football Field Data</t>
  </si>
  <si>
    <t>High</t>
  </si>
  <si>
    <t>Low</t>
  </si>
  <si>
    <t>DCF</t>
  </si>
  <si>
    <t>52 Week Hi/Lo</t>
  </si>
  <si>
    <t>Market</t>
  </si>
  <si>
    <t>Consensus</t>
  </si>
  <si>
    <t>Valuation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</si>
</sst>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8" formatCode="&quot;₹&quot;\ #,##0.00;[Red]&quot;₹&quot;\ \-#,##0.00"/>
    <numFmt numFmtId="43" formatCode="_ * #,##0.00_ ;_ * \-#,##0.00_ ;_ * &quot;-&quot;??_ ;_ @_ "/>
    <numFmt numFmtId="164" formatCode="#&quot;A&quot;"/>
    <numFmt numFmtId="165" formatCode="#&quot;E&quot;"/>
    <numFmt numFmtId="166" formatCode="##,##0;\(##,##0\);&quot;-&quot;"/>
    <numFmt numFmtId="167" formatCode="0.0%"/>
    <numFmt numFmtId="168" formatCode="0.0\x"/>
    <numFmt numFmtId="169" formatCode=";;;"/>
    <numFmt numFmtId="170" formatCode="\₹#,##0.00_);[Red]\(\₹#,##0.00\)"/>
    <numFmt numFmtId="171" formatCode="[$-14009]dd/mm/yyyy;@"/>
    <numFmt numFmtId="172" formatCode="##,##0"/>
    <numFmt numFmtId="173" formatCode="&quot;₹&quot;\ #,##0"/>
    <numFmt numFmtId="174" formatCode="&quot;₹&quot;\ #,##0.00"/>
    <numFmt numFmtId="175" formatCode="[$-14009]dd/mm/yy;@"/>
    <numFmt numFmtId="176" formatCode="_(* #,##0.00_);_(* \(#,##0.00\);_(* &quot;-&quot;??_);_(@_)"/>
  </numFmts>
  <fonts count="2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Q"/>
    </font>
    <font>
      <sz val="11"/>
      <color theme="1"/>
      <name val="Calibri"/>
      <family val="2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  <font>
      <sz val="11"/>
      <name val="Calibri"/>
      <family val="2"/>
      <scheme val="minor"/>
    </font>
    <font>
      <sz val="11"/>
      <name val="Book Antiqua"/>
      <family val="1"/>
    </font>
    <font>
      <sz val="11"/>
      <color rgb="FF1D0CBA"/>
      <name val="Calibri"/>
      <family val="2"/>
      <scheme val="minor"/>
    </font>
    <font>
      <b/>
      <sz val="11"/>
      <color rgb="FF1D0CBA"/>
      <name val="Calibri"/>
      <family val="2"/>
      <scheme val="minor"/>
    </font>
    <font>
      <i/>
      <u/>
      <sz val="11"/>
      <color theme="1"/>
      <name val="Book Antiqua"/>
      <family val="1"/>
    </font>
    <font>
      <b/>
      <sz val="11"/>
      <name val="Calibri"/>
      <family val="2"/>
    </font>
    <font>
      <sz val="11"/>
      <color rgb="FF0000FF"/>
      <name val="Calibri"/>
      <family val="2"/>
      <scheme val="minor"/>
    </font>
    <font>
      <sz val="11"/>
      <color theme="1"/>
      <name val="Arial Narrow"/>
      <family val="2"/>
    </font>
    <font>
      <sz val="11"/>
      <color rgb="FF0000FF"/>
      <name val="Calibri"/>
      <family val="2"/>
    </font>
    <font>
      <sz val="11"/>
      <color rgb="FF1D0CBA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5" fillId="0" borderId="0"/>
    <xf numFmtId="0" fontId="25" fillId="0" borderId="0"/>
    <xf numFmtId="176" fontId="25" fillId="0" borderId="0" applyFont="0" applyFill="0" applyBorder="0" applyAlignment="0" applyProtection="0"/>
  </cellStyleXfs>
  <cellXfs count="188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4" fontId="0" fillId="0" borderId="0" xfId="0" applyNumberFormat="1"/>
    <xf numFmtId="0" fontId="4" fillId="0" borderId="0" xfId="0" applyFont="1"/>
    <xf numFmtId="0" fontId="3" fillId="0" borderId="1" xfId="0" applyFont="1" applyBorder="1"/>
    <xf numFmtId="0" fontId="0" fillId="0" borderId="1" xfId="0" applyBorder="1"/>
    <xf numFmtId="4" fontId="4" fillId="0" borderId="0" xfId="0" applyNumberFormat="1" applyFont="1"/>
    <xf numFmtId="0" fontId="4" fillId="0" borderId="2" xfId="0" applyFont="1" applyBorder="1"/>
    <xf numFmtId="0" fontId="0" fillId="0" borderId="3" xfId="0" applyBorder="1"/>
    <xf numFmtId="4" fontId="4" fillId="0" borderId="3" xfId="0" applyNumberFormat="1" applyFont="1" applyBorder="1"/>
    <xf numFmtId="0" fontId="4" fillId="0" borderId="1" xfId="0" applyFont="1" applyBorder="1"/>
    <xf numFmtId="0" fontId="4" fillId="0" borderId="3" xfId="0" applyFont="1" applyBorder="1"/>
    <xf numFmtId="164" fontId="4" fillId="2" borderId="0" xfId="0" applyNumberFormat="1" applyFont="1" applyFill="1"/>
    <xf numFmtId="17" fontId="4" fillId="0" borderId="1" xfId="0" applyNumberFormat="1" applyFont="1" applyBorder="1"/>
    <xf numFmtId="165" fontId="4" fillId="2" borderId="0" xfId="0" applyNumberFormat="1" applyFont="1" applyFill="1"/>
    <xf numFmtId="0" fontId="8" fillId="2" borderId="0" xfId="0" applyFont="1" applyFill="1"/>
    <xf numFmtId="0" fontId="9" fillId="2" borderId="0" xfId="0" applyFont="1" applyFill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165" fontId="4" fillId="2" borderId="4" xfId="0" applyNumberFormat="1" applyFont="1" applyFill="1" applyBorder="1"/>
    <xf numFmtId="0" fontId="9" fillId="2" borderId="4" xfId="0" applyFont="1" applyFill="1" applyBorder="1" applyAlignment="1">
      <alignment horizontal="centerContinuous"/>
    </xf>
    <xf numFmtId="0" fontId="7" fillId="5" borderId="0" xfId="0" applyFont="1" applyFill="1"/>
    <xf numFmtId="0" fontId="0" fillId="5" borderId="0" xfId="0" applyFill="1"/>
    <xf numFmtId="0" fontId="10" fillId="0" borderId="0" xfId="0" applyFont="1"/>
    <xf numFmtId="0" fontId="1" fillId="0" borderId="0" xfId="0" applyFont="1"/>
    <xf numFmtId="0" fontId="11" fillId="0" borderId="0" xfId="0" applyFont="1"/>
    <xf numFmtId="166" fontId="0" fillId="0" borderId="0" xfId="0" applyNumberFormat="1"/>
    <xf numFmtId="166" fontId="12" fillId="0" borderId="0" xfId="0" applyNumberFormat="1" applyFont="1"/>
    <xf numFmtId="0" fontId="4" fillId="0" borderId="5" xfId="0" applyFont="1" applyBorder="1"/>
    <xf numFmtId="0" fontId="0" fillId="0" borderId="5" xfId="0" applyBorder="1"/>
    <xf numFmtId="0" fontId="11" fillId="0" borderId="5" xfId="0" applyFont="1" applyBorder="1"/>
    <xf numFmtId="0" fontId="11" fillId="0" borderId="1" xfId="0" applyFont="1" applyBorder="1"/>
    <xf numFmtId="166" fontId="12" fillId="0" borderId="1" xfId="0" applyNumberFormat="1" applyFont="1" applyBorder="1"/>
    <xf numFmtId="166" fontId="0" fillId="0" borderId="1" xfId="0" applyNumberFormat="1" applyBorder="1"/>
    <xf numFmtId="0" fontId="0" fillId="0" borderId="1" xfId="0" applyFont="1" applyFill="1" applyBorder="1"/>
    <xf numFmtId="0" fontId="0" fillId="0" borderId="0" xfId="0" applyFont="1"/>
    <xf numFmtId="166" fontId="13" fillId="0" borderId="0" xfId="0" applyNumberFormat="1" applyFont="1"/>
    <xf numFmtId="166" fontId="4" fillId="0" borderId="5" xfId="0" applyNumberFormat="1" applyFont="1" applyBorder="1"/>
    <xf numFmtId="166" fontId="14" fillId="0" borderId="0" xfId="0" applyNumberFormat="1" applyFont="1"/>
    <xf numFmtId="166" fontId="4" fillId="0" borderId="0" xfId="0" applyNumberFormat="1" applyFont="1"/>
    <xf numFmtId="0" fontId="4" fillId="0" borderId="6" xfId="0" applyFont="1" applyBorder="1"/>
    <xf numFmtId="0" fontId="0" fillId="0" borderId="6" xfId="0" applyBorder="1"/>
    <xf numFmtId="0" fontId="11" fillId="0" borderId="6" xfId="0" applyFont="1" applyBorder="1"/>
    <xf numFmtId="166" fontId="4" fillId="0" borderId="6" xfId="0" applyNumberFormat="1" applyFont="1" applyBorder="1"/>
    <xf numFmtId="4" fontId="0" fillId="0" borderId="0" xfId="0" applyNumberFormat="1" applyFont="1"/>
    <xf numFmtId="3" fontId="0" fillId="0" borderId="0" xfId="0" applyNumberFormat="1"/>
    <xf numFmtId="0" fontId="0" fillId="0" borderId="0" xfId="0" applyAlignment="1"/>
    <xf numFmtId="166" fontId="0" fillId="5" borderId="0" xfId="0" applyNumberFormat="1" applyFill="1"/>
    <xf numFmtId="0" fontId="14" fillId="0" borderId="6" xfId="0" applyFont="1" applyBorder="1"/>
    <xf numFmtId="0" fontId="0" fillId="0" borderId="0" xfId="0" applyBorder="1"/>
    <xf numFmtId="0" fontId="0" fillId="0" borderId="7" xfId="0" applyBorder="1"/>
    <xf numFmtId="0" fontId="11" fillId="0" borderId="0" xfId="0" applyFont="1" applyBorder="1"/>
    <xf numFmtId="1" fontId="0" fillId="0" borderId="0" xfId="0" applyNumberFormat="1"/>
    <xf numFmtId="3" fontId="12" fillId="0" borderId="0" xfId="0" applyNumberFormat="1" applyFont="1"/>
    <xf numFmtId="166" fontId="15" fillId="0" borderId="6" xfId="0" applyNumberFormat="1" applyFont="1" applyBorder="1"/>
    <xf numFmtId="166" fontId="15" fillId="0" borderId="5" xfId="0" applyNumberFormat="1" applyFont="1" applyBorder="1"/>
    <xf numFmtId="0" fontId="4" fillId="0" borderId="0" xfId="0" applyFont="1" applyAlignment="1">
      <alignment horizontal="center"/>
    </xf>
    <xf numFmtId="0" fontId="11" fillId="5" borderId="0" xfId="0" applyFont="1" applyFill="1"/>
    <xf numFmtId="4" fontId="16" fillId="0" borderId="0" xfId="0" applyNumberFormat="1" applyFont="1"/>
    <xf numFmtId="0" fontId="17" fillId="0" borderId="0" xfId="0" applyFont="1"/>
    <xf numFmtId="0" fontId="14" fillId="0" borderId="5" xfId="0" applyFont="1" applyBorder="1"/>
    <xf numFmtId="0" fontId="7" fillId="0" borderId="0" xfId="0" applyFont="1" applyFill="1"/>
    <xf numFmtId="0" fontId="0" fillId="0" borderId="0" xfId="0" applyFill="1"/>
    <xf numFmtId="0" fontId="0" fillId="0" borderId="1" xfId="0" applyFill="1" applyBorder="1"/>
    <xf numFmtId="0" fontId="4" fillId="0" borderId="0" xfId="0" applyFont="1" applyAlignment="1">
      <alignment horizontal="right"/>
    </xf>
    <xf numFmtId="167" fontId="0" fillId="0" borderId="0" xfId="0" applyNumberFormat="1" applyFill="1"/>
    <xf numFmtId="1" fontId="0" fillId="0" borderId="0" xfId="0" applyNumberFormat="1" applyFill="1"/>
    <xf numFmtId="168" fontId="0" fillId="0" borderId="0" xfId="0" applyNumberFormat="1" applyFill="1"/>
    <xf numFmtId="167" fontId="0" fillId="0" borderId="8" xfId="0" applyNumberFormat="1" applyBorder="1"/>
    <xf numFmtId="167" fontId="0" fillId="0" borderId="0" xfId="0" applyNumberFormat="1"/>
    <xf numFmtId="10" fontId="4" fillId="0" borderId="0" xfId="0" applyNumberFormat="1" applyFont="1"/>
    <xf numFmtId="169" fontId="0" fillId="0" borderId="1" xfId="0" applyNumberFormat="1" applyFill="1" applyBorder="1"/>
    <xf numFmtId="14" fontId="4" fillId="0" borderId="1" xfId="0" applyNumberFormat="1" applyFont="1" applyBorder="1"/>
    <xf numFmtId="9" fontId="0" fillId="0" borderId="0" xfId="0" applyNumberFormat="1"/>
    <xf numFmtId="0" fontId="4" fillId="0" borderId="0" xfId="0" applyFont="1" applyBorder="1"/>
    <xf numFmtId="166" fontId="4" fillId="0" borderId="0" xfId="0" applyNumberFormat="1" applyFont="1" applyBorder="1"/>
    <xf numFmtId="166" fontId="18" fillId="0" borderId="0" xfId="0" applyNumberFormat="1" applyFont="1"/>
    <xf numFmtId="166" fontId="0" fillId="0" borderId="0" xfId="0" applyNumberFormat="1" applyFont="1"/>
    <xf numFmtId="0" fontId="16" fillId="6" borderId="0" xfId="0" applyFont="1" applyFill="1" applyBorder="1"/>
    <xf numFmtId="0" fontId="19" fillId="6" borderId="0" xfId="0" applyFont="1" applyFill="1" applyBorder="1"/>
    <xf numFmtId="0" fontId="16" fillId="6" borderId="0" xfId="0" applyFont="1" applyFill="1" applyBorder="1" applyAlignment="1">
      <alignment horizontal="center"/>
    </xf>
    <xf numFmtId="0" fontId="16" fillId="6" borderId="0" xfId="0" applyFont="1" applyFill="1" applyBorder="1" applyAlignment="1">
      <alignment horizontal="right"/>
    </xf>
    <xf numFmtId="0" fontId="0" fillId="0" borderId="0" xfId="0" applyNumberFormat="1"/>
    <xf numFmtId="167" fontId="20" fillId="0" borderId="8" xfId="0" applyNumberFormat="1" applyFont="1" applyBorder="1"/>
    <xf numFmtId="0" fontId="20" fillId="0" borderId="0" xfId="0" applyNumberFormat="1" applyFont="1"/>
    <xf numFmtId="170" fontId="0" fillId="0" borderId="0" xfId="0" applyNumberFormat="1"/>
    <xf numFmtId="3" fontId="20" fillId="0" borderId="0" xfId="0" applyNumberFormat="1" applyFont="1"/>
    <xf numFmtId="170" fontId="20" fillId="0" borderId="0" xfId="0" applyNumberFormat="1" applyFont="1"/>
    <xf numFmtId="10" fontId="20" fillId="0" borderId="0" xfId="0" applyNumberFormat="1" applyFont="1"/>
    <xf numFmtId="0" fontId="21" fillId="0" borderId="0" xfId="0" applyNumberFormat="1" applyFont="1"/>
    <xf numFmtId="4" fontId="20" fillId="0" borderId="0" xfId="0" applyNumberFormat="1" applyFont="1"/>
    <xf numFmtId="0" fontId="22" fillId="0" borderId="0" xfId="0" applyFont="1"/>
    <xf numFmtId="0" fontId="4" fillId="5" borderId="0" xfId="0" applyFont="1" applyFill="1"/>
    <xf numFmtId="0" fontId="23" fillId="6" borderId="0" xfId="0" applyFont="1" applyFill="1" applyBorder="1" applyAlignment="1">
      <alignment horizontal="center"/>
    </xf>
    <xf numFmtId="0" fontId="23" fillId="6" borderId="0" xfId="0" applyFont="1" applyFill="1" applyBorder="1"/>
    <xf numFmtId="0" fontId="14" fillId="5" borderId="0" xfId="0" applyFont="1" applyFill="1"/>
    <xf numFmtId="0" fontId="11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11" fillId="5" borderId="1" xfId="0" applyFont="1" applyFill="1" applyBorder="1"/>
    <xf numFmtId="0" fontId="14" fillId="5" borderId="1" xfId="0" applyFont="1" applyFill="1" applyBorder="1"/>
    <xf numFmtId="0" fontId="14" fillId="5" borderId="5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171" fontId="0" fillId="0" borderId="0" xfId="0" applyNumberFormat="1"/>
    <xf numFmtId="173" fontId="0" fillId="0" borderId="0" xfId="0" applyNumberFormat="1"/>
    <xf numFmtId="168" fontId="0" fillId="0" borderId="0" xfId="0" applyNumberFormat="1"/>
    <xf numFmtId="168" fontId="0" fillId="5" borderId="0" xfId="0" applyNumberFormat="1" applyFill="1"/>
    <xf numFmtId="0" fontId="0" fillId="0" borderId="0" xfId="0" applyNumberFormat="1" applyFont="1"/>
    <xf numFmtId="174" fontId="0" fillId="0" borderId="0" xfId="0" applyNumberFormat="1"/>
    <xf numFmtId="8" fontId="20" fillId="0" borderId="0" xfId="0" applyNumberFormat="1" applyFont="1"/>
    <xf numFmtId="0" fontId="4" fillId="5" borderId="0" xfId="4" applyFont="1" applyFill="1"/>
    <xf numFmtId="0" fontId="4" fillId="5" borderId="0" xfId="4" applyFont="1" applyFill="1" applyAlignment="1">
      <alignment horizontal="right"/>
    </xf>
    <xf numFmtId="0" fontId="4" fillId="5" borderId="0" xfId="4" applyFont="1" applyFill="1" applyAlignment="1">
      <alignment horizontal="center"/>
    </xf>
    <xf numFmtId="173" fontId="12" fillId="0" borderId="0" xfId="0" applyNumberFormat="1" applyFont="1"/>
    <xf numFmtId="172" fontId="12" fillId="0" borderId="0" xfId="0" applyNumberFormat="1" applyFont="1"/>
    <xf numFmtId="175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175" fontId="24" fillId="0" borderId="0" xfId="0" applyNumberFormat="1" applyFont="1"/>
    <xf numFmtId="0" fontId="24" fillId="0" borderId="0" xfId="0" applyFont="1"/>
    <xf numFmtId="175" fontId="26" fillId="0" borderId="0" xfId="5" applyNumberFormat="1" applyFont="1"/>
    <xf numFmtId="176" fontId="26" fillId="0" borderId="0" xfId="6" applyFont="1"/>
    <xf numFmtId="0" fontId="4" fillId="0" borderId="0" xfId="0" applyFont="1" applyFill="1"/>
    <xf numFmtId="0" fontId="0" fillId="7" borderId="0" xfId="0" applyFill="1"/>
    <xf numFmtId="10" fontId="0" fillId="7" borderId="0" xfId="0" applyNumberFormat="1" applyFill="1"/>
    <xf numFmtId="0" fontId="8" fillId="5" borderId="0" xfId="0" applyFont="1" applyFill="1"/>
    <xf numFmtId="0" fontId="2" fillId="5" borderId="0" xfId="0" applyFont="1" applyFill="1"/>
    <xf numFmtId="0" fontId="1" fillId="5" borderId="0" xfId="0" applyFont="1" applyFill="1"/>
    <xf numFmtId="10" fontId="0" fillId="0" borderId="0" xfId="0" applyNumberFormat="1"/>
    <xf numFmtId="173" fontId="12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0" fontId="20" fillId="0" borderId="0" xfId="0" applyFont="1"/>
    <xf numFmtId="2" fontId="0" fillId="0" borderId="0" xfId="0" applyNumberFormat="1"/>
    <xf numFmtId="10" fontId="12" fillId="0" borderId="0" xfId="0" applyNumberFormat="1" applyFont="1" applyAlignment="1">
      <alignment horizontal="center"/>
    </xf>
    <xf numFmtId="0" fontId="4" fillId="5" borderId="0" xfId="0" applyNumberFormat="1" applyFont="1" applyFill="1"/>
    <xf numFmtId="173" fontId="4" fillId="5" borderId="0" xfId="0" applyNumberFormat="1" applyFont="1" applyFill="1"/>
    <xf numFmtId="2" fontId="0" fillId="5" borderId="0" xfId="0" applyNumberFormat="1" applyFill="1"/>
    <xf numFmtId="167" fontId="0" fillId="5" borderId="0" xfId="0" applyNumberFormat="1" applyFill="1"/>
    <xf numFmtId="0" fontId="4" fillId="7" borderId="0" xfId="0" applyFont="1" applyFill="1"/>
    <xf numFmtId="10" fontId="12" fillId="0" borderId="0" xfId="0" applyNumberFormat="1" applyFont="1"/>
    <xf numFmtId="167" fontId="12" fillId="0" borderId="0" xfId="0" applyNumberFormat="1" applyFont="1"/>
    <xf numFmtId="167" fontId="4" fillId="0" borderId="5" xfId="0" applyNumberFormat="1" applyFont="1" applyBorder="1"/>
    <xf numFmtId="167" fontId="20" fillId="0" borderId="0" xfId="0" applyNumberFormat="1" applyFont="1"/>
    <xf numFmtId="167" fontId="4" fillId="0" borderId="6" xfId="0" applyNumberFormat="1" applyFont="1" applyBorder="1"/>
    <xf numFmtId="4" fontId="0" fillId="0" borderId="0" xfId="0" applyNumberFormat="1" applyBorder="1"/>
    <xf numFmtId="0" fontId="4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0" fontId="14" fillId="0" borderId="1" xfId="0" applyFont="1" applyBorder="1"/>
    <xf numFmtId="171" fontId="20" fillId="0" borderId="5" xfId="0" applyNumberFormat="1" applyFont="1" applyBorder="1" applyAlignment="1">
      <alignment horizontal="center"/>
    </xf>
    <xf numFmtId="10" fontId="20" fillId="0" borderId="0" xfId="0" applyNumberFormat="1" applyFont="1" applyAlignment="1">
      <alignment horizontal="center"/>
    </xf>
    <xf numFmtId="14" fontId="27" fillId="0" borderId="0" xfId="0" applyNumberFormat="1" applyFont="1" applyAlignment="1">
      <alignment horizontal="center"/>
    </xf>
    <xf numFmtId="168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14" fontId="20" fillId="0" borderId="0" xfId="0" applyNumberFormat="1" applyFont="1"/>
    <xf numFmtId="166" fontId="0" fillId="0" borderId="5" xfId="0" applyNumberFormat="1" applyBorder="1"/>
    <xf numFmtId="0" fontId="0" fillId="0" borderId="0" xfId="0" applyFill="1" applyBorder="1"/>
    <xf numFmtId="0" fontId="4" fillId="0" borderId="5" xfId="0" applyFont="1" applyFill="1" applyBorder="1"/>
    <xf numFmtId="167" fontId="20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3" fontId="4" fillId="0" borderId="0" xfId="0" applyNumberFormat="1" applyFont="1"/>
    <xf numFmtId="3" fontId="4" fillId="0" borderId="5" xfId="0" applyNumberFormat="1" applyFont="1" applyBorder="1"/>
    <xf numFmtId="0" fontId="0" fillId="0" borderId="5" xfId="0" applyFont="1" applyBorder="1"/>
    <xf numFmtId="0" fontId="0" fillId="5" borderId="0" xfId="0" applyFont="1" applyFill="1"/>
    <xf numFmtId="0" fontId="0" fillId="0" borderId="0" xfId="0" applyAlignment="1">
      <alignment textRotation="180"/>
    </xf>
    <xf numFmtId="166" fontId="0" fillId="0" borderId="10" xfId="0" applyNumberFormat="1" applyFont="1" applyBorder="1" applyAlignment="1">
      <alignment vertical="top"/>
    </xf>
    <xf numFmtId="168" fontId="4" fillId="0" borderId="0" xfId="0" applyNumberFormat="1" applyFont="1" applyAlignment="1">
      <alignment vertical="top"/>
    </xf>
    <xf numFmtId="167" fontId="4" fillId="0" borderId="10" xfId="0" applyNumberFormat="1" applyFont="1" applyBorder="1" applyAlignment="1">
      <alignment vertical="top"/>
    </xf>
    <xf numFmtId="9" fontId="4" fillId="0" borderId="11" xfId="0" applyNumberFormat="1" applyFont="1" applyBorder="1"/>
    <xf numFmtId="9" fontId="4" fillId="0" borderId="5" xfId="0" applyNumberFormat="1" applyFont="1" applyBorder="1"/>
    <xf numFmtId="1" fontId="0" fillId="0" borderId="0" xfId="0" applyNumberFormat="1" applyAlignment="1">
      <alignment vertical="top"/>
    </xf>
    <xf numFmtId="1" fontId="0" fillId="0" borderId="9" xfId="0" applyNumberFormat="1" applyBorder="1" applyAlignment="1">
      <alignment vertical="top"/>
    </xf>
    <xf numFmtId="167" fontId="4" fillId="0" borderId="0" xfId="0" applyNumberFormat="1" applyFont="1"/>
    <xf numFmtId="1" fontId="0" fillId="0" borderId="9" xfId="0" applyNumberFormat="1" applyBorder="1"/>
    <xf numFmtId="1" fontId="0" fillId="8" borderId="0" xfId="0" applyNumberFormat="1" applyFill="1" applyAlignment="1">
      <alignment vertical="top"/>
    </xf>
    <xf numFmtId="1" fontId="0" fillId="9" borderId="0" xfId="0" applyNumberFormat="1" applyFill="1"/>
    <xf numFmtId="1" fontId="0" fillId="9" borderId="0" xfId="0" applyNumberFormat="1" applyFill="1" applyAlignment="1">
      <alignment vertical="top"/>
    </xf>
    <xf numFmtId="1" fontId="4" fillId="10" borderId="0" xfId="0" applyNumberFormat="1" applyFont="1" applyFill="1" applyAlignment="1">
      <alignment vertical="top"/>
    </xf>
    <xf numFmtId="1" fontId="4" fillId="10" borderId="0" xfId="0" applyNumberFormat="1" applyFont="1" applyFill="1"/>
    <xf numFmtId="0" fontId="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textRotation="180" readingOrder="2"/>
    </xf>
    <xf numFmtId="0" fontId="4" fillId="0" borderId="0" xfId="0" applyFont="1" applyAlignment="1">
      <alignment horizontal="center" vertical="center" textRotation="180"/>
    </xf>
    <xf numFmtId="0" fontId="0" fillId="0" borderId="0" xfId="0" applyAlignment="1">
      <alignment horizontal="center" vertical="center" textRotation="180"/>
    </xf>
  </cellXfs>
  <cellStyles count="7">
    <cellStyle name="60% - Accent1 2" xfId="2"/>
    <cellStyle name="60% - Accent3 2" xfId="3"/>
    <cellStyle name="Comma 2" xfId="1"/>
    <cellStyle name="Comma 5" xfId="6"/>
    <cellStyle name="Normal" xfId="0" builtinId="0"/>
    <cellStyle name="Normal 2 2" xfId="4"/>
    <cellStyle name="Normal 6" xfId="5"/>
  </cellStyles>
  <dxfs count="0"/>
  <tableStyles count="0" defaultTableStyle="TableStyleMedium2" defaultPivotStyle="PivotStyleLight16"/>
  <colors>
    <mruColors>
      <color rgb="FF1D0C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Valuation</a:t>
            </a:r>
            <a:r>
              <a:rPr lang="en-IN" b="1" baseline="0"/>
              <a:t> Summary</a:t>
            </a:r>
          </a:p>
          <a:p>
            <a:pPr>
              <a:defRPr b="1"/>
            </a:pP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SUMMARY!$H$6:$K$6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 Week Hi/Lo</c:v>
                </c:pt>
                <c:pt idx="3">
                  <c:v>Consensus</c:v>
                </c:pt>
              </c:strCache>
            </c:strRef>
          </c:cat>
          <c:val>
            <c:numRef>
              <c:f>SUMMARY!$H$7:$K$7</c:f>
              <c:numCache>
                <c:formatCode>0</c:formatCode>
                <c:ptCount val="4"/>
                <c:pt idx="0">
                  <c:v>2253.4057634809633</c:v>
                </c:pt>
                <c:pt idx="1">
                  <c:v>1995.6441623274918</c:v>
                </c:pt>
                <c:pt idx="2">
                  <c:v>3546.4</c:v>
                </c:pt>
                <c:pt idx="3">
                  <c:v>3970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B-4FB4-A419-2BCDD986FB5C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0828729281767959E-2"/>
                  <c:y val="-4.8543689320388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53B-4FB4-A419-2BCDD986FB5C}"/>
                </c:ext>
              </c:extLst>
            </c:dLbl>
            <c:dLbl>
              <c:idx val="1"/>
              <c:layout>
                <c:manualLayout>
                  <c:x val="-5.0828729281767959E-2"/>
                  <c:y val="-5.1779935275081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53B-4FB4-A419-2BCDD986FB5C}"/>
                </c:ext>
              </c:extLst>
            </c:dLbl>
            <c:dLbl>
              <c:idx val="2"/>
              <c:layout>
                <c:manualLayout>
                  <c:x val="-4.8618784530386823E-2"/>
                  <c:y val="-5.17799352750809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53B-4FB4-A419-2BCDD986FB5C}"/>
                </c:ext>
              </c:extLst>
            </c:dLbl>
            <c:dLbl>
              <c:idx val="3"/>
              <c:layout>
                <c:manualLayout>
                  <c:x val="-5.0828729281768119E-2"/>
                  <c:y val="-3.88349514563106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3B-4FB4-A419-2BCDD986FB5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SUMMARY!$H$6:$K$6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 Week Hi/Lo</c:v>
                </c:pt>
                <c:pt idx="3">
                  <c:v>Consensus</c:v>
                </c:pt>
              </c:strCache>
            </c:strRef>
          </c:cat>
          <c:val>
            <c:numRef>
              <c:f>SUMMARY!$H$8:$K$8</c:f>
              <c:numCache>
                <c:formatCode>0</c:formatCode>
                <c:ptCount val="4"/>
                <c:pt idx="0">
                  <c:v>2253.4057634809633</c:v>
                </c:pt>
                <c:pt idx="1">
                  <c:v>1995.6441623274918</c:v>
                </c:pt>
                <c:pt idx="2">
                  <c:v>3546.4</c:v>
                </c:pt>
                <c:pt idx="3">
                  <c:v>3970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3B-4FB4-A419-2BCDD986FB5C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SUMMARY!$H$6:$K$6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 Week Hi/Lo</c:v>
                </c:pt>
                <c:pt idx="3">
                  <c:v>Consensus</c:v>
                </c:pt>
              </c:strCache>
            </c:strRef>
          </c:cat>
          <c:val>
            <c:numRef>
              <c:f>SUMMARY!$H$9:$K$9</c:f>
              <c:numCache>
                <c:formatCode>0</c:formatCode>
                <c:ptCount val="4"/>
                <c:pt idx="0">
                  <c:v>1352.7936103894287</c:v>
                </c:pt>
                <c:pt idx="1">
                  <c:v>1722.6943883556808</c:v>
                </c:pt>
                <c:pt idx="2">
                  <c:v>1318.8</c:v>
                </c:pt>
                <c:pt idx="3">
                  <c:v>2890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3B-4FB4-A419-2BCDD986FB5C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0828816287466848E-2"/>
                  <c:y val="6.1488800550416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524861878453033E-2"/>
                      <c:h val="4.52590270876334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553B-4FB4-A419-2BCDD986FB5C}"/>
                </c:ext>
              </c:extLst>
            </c:dLbl>
            <c:dLbl>
              <c:idx val="1"/>
              <c:layout>
                <c:manualLayout>
                  <c:x val="-4.6408839779005527E-2"/>
                  <c:y val="4.20711974110031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3B-4FB4-A419-2BCDD986FB5C}"/>
                </c:ext>
              </c:extLst>
            </c:dLbl>
            <c:dLbl>
              <c:idx val="2"/>
              <c:layout>
                <c:manualLayout>
                  <c:x val="-4.8618784530386823E-2"/>
                  <c:y val="3.55987055016181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3B-4FB4-A419-2BCDD986FB5C}"/>
                </c:ext>
              </c:extLst>
            </c:dLbl>
            <c:dLbl>
              <c:idx val="3"/>
              <c:layout>
                <c:manualLayout>
                  <c:x val="-4.6408839779005687E-2"/>
                  <c:y val="3.88349514563106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3B-4FB4-A419-2BCDD986FB5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SUMMARY!$H$6:$K$6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 Week Hi/Lo</c:v>
                </c:pt>
                <c:pt idx="3">
                  <c:v>Consensus</c:v>
                </c:pt>
              </c:strCache>
            </c:strRef>
          </c:cat>
          <c:val>
            <c:numRef>
              <c:f>SUMMARY!$H$10:$K$10</c:f>
              <c:numCache>
                <c:formatCode>0</c:formatCode>
                <c:ptCount val="4"/>
                <c:pt idx="0">
                  <c:v>1352.7936103894287</c:v>
                </c:pt>
                <c:pt idx="1">
                  <c:v>1722.6943883556808</c:v>
                </c:pt>
                <c:pt idx="2">
                  <c:v>1318.8</c:v>
                </c:pt>
                <c:pt idx="3">
                  <c:v>2890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3B-4FB4-A419-2BCDD986FB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82550" h="158750"/>
                <a:bevelB w="82550" h="158750"/>
              </a:sp3d>
            </c:spPr>
          </c:downBars>
        </c:upDownBars>
        <c:axId val="325952464"/>
        <c:axId val="325942064"/>
      </c:stockChart>
      <c:catAx>
        <c:axId val="32595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942064"/>
        <c:crosses val="autoZero"/>
        <c:auto val="1"/>
        <c:lblAlgn val="ctr"/>
        <c:lblOffset val="100"/>
        <c:noMultiLvlLbl val="0"/>
      </c:catAx>
      <c:valAx>
        <c:axId val="32594206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9524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1320800</xdr:colOff>
      <xdr:row>13</xdr:row>
      <xdr:rowOff>50800</xdr:rowOff>
    </xdr:from>
    <xdr:to>
      <xdr:col>9</xdr:col>
      <xdr:colOff>527050</xdr:colOff>
      <xdr:row>34</xdr:row>
      <xdr:rowOff>107950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0.08066</cdr:x>
      <cdr:y>0.33333</cdr:y>
    </cdr:from>
    <cdr:to>
      <cdr:x>0.97238</cdr:x>
      <cdr:y>0.33495</cdr:y>
    </cdr:to>
    <cdr:cxnSp macro="">
      <cdr:nvCxnSpPr>
        <cdr:cNvPr id="3" name="Straight Connector 2"/>
        <cdr:cNvCxnSpPr/>
      </cdr:nvCxnSpPr>
      <cdr:spPr>
        <a:xfrm xmlns:a="http://schemas.openxmlformats.org/drawingml/2006/main" flipV="1">
          <a:off x="463550" y="1308100"/>
          <a:ext cx="5124450" cy="635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5"/>
  <cols>
    <col min="1" max="3" width="1.36328125" customWidth="1"/>
    <col min="4" max="4" width="40.81640625" customWidth="1"/>
    <col min="5" max="6" width="12.81640625" customWidth="1"/>
    <col min="7" max="7" width="2.81640625" customWidth="1"/>
    <col min="8" max="8" width="11.81640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4"/>
  <sheetViews>
    <sheetView showGridLines="0" tabSelected="1" topLeftCell="A88" workbookViewId="0">
      <selection activeCell="G91" sqref="G91"/>
    </sheetView>
  </sheetViews>
  <sheetFormatPr defaultColWidth="11.81640625" defaultRowHeight="14.5"/>
  <cols>
    <col min="1" max="3" width="1.36328125" customWidth="1"/>
    <col min="4" max="4" width="40.81640625" customWidth="1"/>
    <col min="5" max="6" width="12.81640625" customWidth="1"/>
    <col min="7" max="7" width="2.81640625" customWidth="1"/>
    <col min="8" max="9" width="11.6328125" customWidth="1"/>
    <col min="10" max="11" width="11.81640625" customWidth="1"/>
  </cols>
  <sheetData>
    <row r="1" spans="1:18" ht="46">
      <c r="A1" s="17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</row>
    <row r="2" spans="1:18" ht="18.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18" ht="15.5">
      <c r="A4" s="6" t="s">
        <v>0</v>
      </c>
      <c r="B4" s="7"/>
      <c r="C4" s="7"/>
      <c r="D4" s="7"/>
      <c r="E4" s="7"/>
      <c r="F4" s="7"/>
      <c r="G4" s="7"/>
      <c r="H4" s="12">
        <v>2021</v>
      </c>
      <c r="I4" s="12">
        <f t="shared" ref="I4:R4" si="0">H4+1</f>
        <v>2022</v>
      </c>
      <c r="J4" s="12">
        <f t="shared" si="0"/>
        <v>2023</v>
      </c>
      <c r="K4" s="6">
        <f t="shared" si="0"/>
        <v>2024</v>
      </c>
      <c r="L4" s="6">
        <f t="shared" si="0"/>
        <v>2025</v>
      </c>
      <c r="M4" s="6">
        <f t="shared" si="0"/>
        <v>2026</v>
      </c>
      <c r="N4" s="6">
        <f t="shared" si="0"/>
        <v>2027</v>
      </c>
      <c r="O4" s="6">
        <f t="shared" si="0"/>
        <v>2028</v>
      </c>
      <c r="P4" s="6">
        <f t="shared" si="0"/>
        <v>2029</v>
      </c>
      <c r="Q4" s="6">
        <f t="shared" si="0"/>
        <v>2030</v>
      </c>
      <c r="R4" s="6">
        <f t="shared" si="0"/>
        <v>2031</v>
      </c>
    </row>
    <row r="5" spans="1:18">
      <c r="D5" s="5" t="s">
        <v>3</v>
      </c>
      <c r="K5" s="4"/>
    </row>
    <row r="6" spans="1:18">
      <c r="D6" t="s">
        <v>19</v>
      </c>
      <c r="H6" s="4">
        <v>34060.79</v>
      </c>
      <c r="I6" s="4">
        <v>52013.5</v>
      </c>
      <c r="J6" s="4">
        <v>61673.45</v>
      </c>
      <c r="K6" s="4">
        <v>71747.45</v>
      </c>
      <c r="L6" s="4">
        <v>100687.55</v>
      </c>
    </row>
    <row r="7" spans="1:18">
      <c r="D7" t="s">
        <v>4</v>
      </c>
      <c r="H7">
        <v>137.97</v>
      </c>
      <c r="I7">
        <v>276.23</v>
      </c>
      <c r="J7">
        <v>431.98</v>
      </c>
      <c r="K7" s="4">
        <v>749.09</v>
      </c>
      <c r="L7" s="4">
        <v>1692.94</v>
      </c>
    </row>
    <row r="8" spans="1:18">
      <c r="D8" s="5" t="s">
        <v>5</v>
      </c>
      <c r="H8" s="8">
        <v>34198.76</v>
      </c>
      <c r="I8" s="8">
        <v>52289.73</v>
      </c>
      <c r="J8" s="8">
        <v>62105.43</v>
      </c>
      <c r="K8" s="8">
        <v>72496.539999999994</v>
      </c>
      <c r="L8" s="8">
        <v>102380.49</v>
      </c>
    </row>
    <row r="9" spans="1:18">
      <c r="D9" s="5" t="s">
        <v>6</v>
      </c>
      <c r="K9" s="4"/>
      <c r="L9" s="4"/>
    </row>
    <row r="10" spans="1:18">
      <c r="D10" t="s">
        <v>7</v>
      </c>
      <c r="H10" s="4">
        <v>17487.2</v>
      </c>
      <c r="I10" s="4">
        <v>28233.3</v>
      </c>
      <c r="J10" s="4">
        <v>34585.120000000003</v>
      </c>
      <c r="K10" s="4">
        <v>44017.16</v>
      </c>
      <c r="L10" s="4">
        <v>56981.13</v>
      </c>
    </row>
    <row r="11" spans="1:18">
      <c r="D11" t="s">
        <v>20</v>
      </c>
      <c r="H11">
        <v>481.36</v>
      </c>
      <c r="I11">
        <v>-949.67</v>
      </c>
      <c r="J11" s="4">
        <v>-1495.59</v>
      </c>
      <c r="K11" s="4">
        <v>-2848.34</v>
      </c>
      <c r="L11" s="4">
        <v>-1762.96</v>
      </c>
    </row>
    <row r="12" spans="1:18">
      <c r="D12" t="s">
        <v>8</v>
      </c>
      <c r="H12" s="4">
        <v>2100.7600000000002</v>
      </c>
      <c r="I12" s="4">
        <v>4136.6400000000003</v>
      </c>
      <c r="J12" s="4">
        <v>4883.6099999999997</v>
      </c>
      <c r="K12" s="4">
        <v>6311.44</v>
      </c>
      <c r="L12" s="4">
        <v>8365.59</v>
      </c>
    </row>
    <row r="13" spans="1:18">
      <c r="D13" t="s">
        <v>9</v>
      </c>
      <c r="H13">
        <v>561.84</v>
      </c>
      <c r="I13">
        <v>640.73</v>
      </c>
      <c r="J13">
        <v>241.23</v>
      </c>
      <c r="K13" s="4">
        <v>594.03</v>
      </c>
      <c r="L13" s="4">
        <v>621.84</v>
      </c>
    </row>
    <row r="14" spans="1:18">
      <c r="D14" t="s">
        <v>10</v>
      </c>
      <c r="H14">
        <v>418.81</v>
      </c>
      <c r="I14" s="4">
        <v>1008.02</v>
      </c>
      <c r="J14" s="4">
        <v>1234.24</v>
      </c>
      <c r="K14" s="4">
        <v>1605.52</v>
      </c>
      <c r="L14" s="4">
        <v>2662.14</v>
      </c>
    </row>
    <row r="15" spans="1:18">
      <c r="D15" t="s">
        <v>11</v>
      </c>
      <c r="H15" s="4">
        <v>5976.17</v>
      </c>
      <c r="I15" s="4">
        <v>10075.67</v>
      </c>
      <c r="J15" s="4">
        <v>11439.64</v>
      </c>
      <c r="K15" s="4">
        <v>11418.21</v>
      </c>
      <c r="L15" s="4">
        <v>13896.45</v>
      </c>
    </row>
    <row r="16" spans="1:18">
      <c r="D16" s="5" t="s">
        <v>21</v>
      </c>
      <c r="H16" s="8">
        <v>27026.14</v>
      </c>
      <c r="I16" s="8">
        <v>43144.69</v>
      </c>
      <c r="J16" s="8">
        <v>50888.25</v>
      </c>
      <c r="K16" s="8">
        <v>61098.02</v>
      </c>
      <c r="L16" s="8">
        <v>80764.19</v>
      </c>
    </row>
    <row r="17" spans="4:12">
      <c r="D17" s="5" t="s">
        <v>22</v>
      </c>
      <c r="H17" s="8">
        <v>7172.62</v>
      </c>
      <c r="I17" s="8">
        <v>9145.0400000000009</v>
      </c>
      <c r="J17" s="8">
        <v>11217.18</v>
      </c>
      <c r="K17" s="8">
        <v>11398.52</v>
      </c>
      <c r="L17" s="8">
        <v>21616.3</v>
      </c>
    </row>
    <row r="18" spans="4:12">
      <c r="D18" t="s">
        <v>12</v>
      </c>
      <c r="H18">
        <v>0</v>
      </c>
      <c r="I18">
        <v>0</v>
      </c>
      <c r="J18">
        <v>0</v>
      </c>
      <c r="K18" s="4">
        <v>-3208.39</v>
      </c>
      <c r="L18">
        <v>0</v>
      </c>
    </row>
    <row r="19" spans="4:12">
      <c r="D19" s="5" t="s">
        <v>23</v>
      </c>
      <c r="H19" s="8">
        <f>H17</f>
        <v>7172.62</v>
      </c>
      <c r="I19" s="8">
        <f>I17</f>
        <v>9145.0400000000009</v>
      </c>
      <c r="J19" s="8">
        <v>11217.18</v>
      </c>
      <c r="K19" s="8">
        <v>8190.13</v>
      </c>
      <c r="L19" s="8">
        <v>21616.3</v>
      </c>
    </row>
    <row r="20" spans="4:12">
      <c r="D20" s="5" t="s">
        <v>13</v>
      </c>
      <c r="K20" s="4"/>
    </row>
    <row r="21" spans="4:12">
      <c r="D21" t="s">
        <v>14</v>
      </c>
      <c r="H21" s="4">
        <v>1756.4</v>
      </c>
      <c r="I21" s="46">
        <v>1672.15</v>
      </c>
      <c r="J21" s="4">
        <v>2637.72</v>
      </c>
      <c r="K21" s="4">
        <v>2901.53</v>
      </c>
      <c r="L21" s="4">
        <v>4918.95</v>
      </c>
    </row>
    <row r="22" spans="4:12">
      <c r="D22" t="s">
        <v>15</v>
      </c>
      <c r="H22">
        <v>16.329999999999998</v>
      </c>
      <c r="I22">
        <v>278.27999999999997</v>
      </c>
      <c r="J22">
        <v>250.49</v>
      </c>
      <c r="K22">
        <v>417.8</v>
      </c>
      <c r="L22" s="4">
        <v>655.58</v>
      </c>
    </row>
    <row r="23" spans="4:12">
      <c r="D23" t="s">
        <v>24</v>
      </c>
      <c r="H23" s="4">
        <v>1772.73</v>
      </c>
      <c r="I23" s="46">
        <v>1950.43</v>
      </c>
      <c r="J23" s="4">
        <v>2888.21</v>
      </c>
      <c r="K23" s="4">
        <v>3319.33</v>
      </c>
      <c r="L23" s="4">
        <v>5574.53</v>
      </c>
    </row>
    <row r="24" spans="4:12">
      <c r="D24" s="5" t="s">
        <v>25</v>
      </c>
      <c r="H24" s="8">
        <v>5399.89</v>
      </c>
      <c r="I24" s="8">
        <v>7194.61</v>
      </c>
      <c r="J24" s="8">
        <v>8328.9699999999993</v>
      </c>
      <c r="K24" s="8">
        <v>4870.8</v>
      </c>
      <c r="L24" s="8">
        <v>16041.77</v>
      </c>
    </row>
    <row r="25" spans="4:12">
      <c r="D25" s="5" t="s">
        <v>26</v>
      </c>
      <c r="K25" s="4"/>
    </row>
    <row r="26" spans="4:12">
      <c r="D26" s="5" t="s">
        <v>27</v>
      </c>
      <c r="K26" s="4"/>
    </row>
    <row r="27" spans="4:12">
      <c r="D27" t="s">
        <v>28</v>
      </c>
      <c r="H27">
        <v>-3.73</v>
      </c>
      <c r="I27">
        <v>80.650000000000006</v>
      </c>
      <c r="J27">
        <v>16.829999999999998</v>
      </c>
      <c r="K27">
        <v>-6.67</v>
      </c>
      <c r="L27" s="4">
        <v>-17.48</v>
      </c>
    </row>
    <row r="28" spans="4:12">
      <c r="D28" t="s">
        <v>29</v>
      </c>
      <c r="H28">
        <v>0.94</v>
      </c>
      <c r="I28">
        <v>-20.3</v>
      </c>
      <c r="J28">
        <v>0</v>
      </c>
      <c r="K28">
        <v>1.68</v>
      </c>
      <c r="L28" s="4">
        <v>3.67</v>
      </c>
    </row>
    <row r="29" spans="4:12">
      <c r="D29" t="s">
        <v>18</v>
      </c>
      <c r="H29">
        <v>-85.18</v>
      </c>
      <c r="I29">
        <v>128.79</v>
      </c>
      <c r="J29">
        <v>290.36</v>
      </c>
      <c r="K29">
        <v>-717.37</v>
      </c>
      <c r="L29">
        <v>0</v>
      </c>
    </row>
    <row r="30" spans="4:12">
      <c r="D30" s="5" t="s">
        <v>30</v>
      </c>
      <c r="H30" s="5">
        <f>H27+H28+H29</f>
        <v>-87.970000000000013</v>
      </c>
      <c r="I30" s="5">
        <f>I27+I28+I29</f>
        <v>189.14</v>
      </c>
      <c r="J30" s="5">
        <v>307.19</v>
      </c>
      <c r="K30" s="5">
        <v>-722.36</v>
      </c>
      <c r="L30" s="5">
        <v>-13.81</v>
      </c>
    </row>
    <row r="31" spans="4:12">
      <c r="D31" s="5" t="s">
        <v>31</v>
      </c>
      <c r="H31" s="8">
        <v>5311.92</v>
      </c>
      <c r="I31" s="8">
        <v>7383.75</v>
      </c>
      <c r="J31" s="8">
        <v>8636.16</v>
      </c>
      <c r="K31" s="8">
        <v>4148.4399999999996</v>
      </c>
      <c r="L31" s="8">
        <v>16027.96</v>
      </c>
    </row>
    <row r="32" spans="4:12">
      <c r="D32" s="5" t="s">
        <v>32</v>
      </c>
    </row>
    <row r="33" spans="1:17">
      <c r="D33" t="s">
        <v>16</v>
      </c>
      <c r="H33">
        <v>0</v>
      </c>
      <c r="I33">
        <v>0</v>
      </c>
      <c r="J33">
        <v>0</v>
      </c>
      <c r="K33" s="4">
        <v>4277.3</v>
      </c>
      <c r="L33" s="4">
        <v>15871.36</v>
      </c>
    </row>
    <row r="34" spans="1:17">
      <c r="D34" t="s">
        <v>17</v>
      </c>
      <c r="H34">
        <v>0</v>
      </c>
      <c r="I34">
        <v>0</v>
      </c>
      <c r="J34">
        <v>0</v>
      </c>
      <c r="K34">
        <v>593.5</v>
      </c>
      <c r="L34">
        <v>170.41</v>
      </c>
    </row>
    <row r="35" spans="1:17">
      <c r="D35" s="5" t="s">
        <v>33</v>
      </c>
    </row>
    <row r="36" spans="1:17">
      <c r="D36" t="s">
        <v>16</v>
      </c>
      <c r="H36">
        <v>0</v>
      </c>
      <c r="I36">
        <v>0</v>
      </c>
      <c r="J36">
        <v>0</v>
      </c>
      <c r="K36">
        <v>-724.27</v>
      </c>
      <c r="L36">
        <v>-12.51</v>
      </c>
    </row>
    <row r="37" spans="1:17">
      <c r="D37" t="s">
        <v>17</v>
      </c>
      <c r="H37">
        <v>0</v>
      </c>
      <c r="I37">
        <v>0</v>
      </c>
      <c r="J37">
        <v>0</v>
      </c>
      <c r="K37">
        <v>1.91</v>
      </c>
      <c r="L37">
        <v>-1.3</v>
      </c>
    </row>
    <row r="38" spans="1:17">
      <c r="D38" s="5" t="s">
        <v>34</v>
      </c>
    </row>
    <row r="39" spans="1:17">
      <c r="D39" t="s">
        <v>35</v>
      </c>
      <c r="H39">
        <v>17.14</v>
      </c>
      <c r="I39">
        <v>21.03</v>
      </c>
      <c r="J39">
        <v>11.43</v>
      </c>
      <c r="K39">
        <v>5.83</v>
      </c>
      <c r="L39">
        <v>19.809999999999999</v>
      </c>
    </row>
    <row r="40" spans="1:17">
      <c r="D40" t="s">
        <v>36</v>
      </c>
      <c r="H40">
        <v>17.14</v>
      </c>
      <c r="I40">
        <v>21.03</v>
      </c>
      <c r="J40">
        <v>11.43</v>
      </c>
      <c r="K40">
        <v>5.83</v>
      </c>
      <c r="L40">
        <v>19.809999999999999</v>
      </c>
    </row>
    <row r="41" spans="1:17">
      <c r="D41" t="s">
        <v>169</v>
      </c>
      <c r="H41">
        <v>10</v>
      </c>
      <c r="I41">
        <v>10</v>
      </c>
    </row>
    <row r="46" spans="1:17" ht="15.5">
      <c r="A46" s="6" t="s">
        <v>37</v>
      </c>
      <c r="B46" s="7"/>
      <c r="C46" s="7"/>
      <c r="D46" s="7"/>
      <c r="E46" s="7"/>
      <c r="F46" s="7"/>
      <c r="G46" s="7"/>
      <c r="H46" s="12">
        <v>2021</v>
      </c>
      <c r="I46" s="12">
        <f t="shared" ref="I46:Q46" si="1">H46+1</f>
        <v>2022</v>
      </c>
      <c r="J46" s="12">
        <f t="shared" si="1"/>
        <v>2023</v>
      </c>
      <c r="K46" s="6">
        <f t="shared" si="1"/>
        <v>2024</v>
      </c>
      <c r="L46" s="6">
        <f t="shared" si="1"/>
        <v>2025</v>
      </c>
      <c r="M46" s="6">
        <f t="shared" si="1"/>
        <v>2026</v>
      </c>
      <c r="N46" s="6">
        <f t="shared" si="1"/>
        <v>2027</v>
      </c>
      <c r="O46" s="6">
        <f t="shared" si="1"/>
        <v>2028</v>
      </c>
      <c r="P46" s="6">
        <f t="shared" si="1"/>
        <v>2029</v>
      </c>
      <c r="Q46" s="6">
        <f t="shared" si="1"/>
        <v>2030</v>
      </c>
    </row>
    <row r="47" spans="1:17">
      <c r="D47" s="5" t="s">
        <v>38</v>
      </c>
    </row>
    <row r="48" spans="1:17">
      <c r="D48" s="5" t="s">
        <v>39</v>
      </c>
    </row>
    <row r="49" spans="4:12">
      <c r="D49" t="s">
        <v>40</v>
      </c>
      <c r="H49" s="4">
        <v>14217.62</v>
      </c>
      <c r="I49" s="4">
        <v>15844.31</v>
      </c>
      <c r="J49" s="4">
        <v>18435.38</v>
      </c>
      <c r="K49" s="4">
        <v>32290.32</v>
      </c>
      <c r="L49" s="4">
        <v>46292.28</v>
      </c>
    </row>
    <row r="50" spans="4:12">
      <c r="D50" t="s">
        <v>41</v>
      </c>
      <c r="H50" s="4">
        <v>1842.91</v>
      </c>
      <c r="I50">
        <v>189.16</v>
      </c>
      <c r="J50" s="4">
        <v>2551.7600000000002</v>
      </c>
      <c r="K50" s="4">
        <v>12542.32</v>
      </c>
      <c r="L50" s="4">
        <v>13028.4</v>
      </c>
    </row>
    <row r="51" spans="4:12">
      <c r="D51" t="s">
        <v>42</v>
      </c>
      <c r="H51">
        <v>20.010000000000002</v>
      </c>
      <c r="I51" s="4">
        <v>1936.57</v>
      </c>
      <c r="J51" s="4">
        <v>3741.91</v>
      </c>
      <c r="K51" s="4">
        <v>3715.21</v>
      </c>
      <c r="L51" s="4">
        <v>4239.03</v>
      </c>
    </row>
    <row r="52" spans="4:12">
      <c r="D52" t="s">
        <v>43</v>
      </c>
      <c r="H52" s="4">
        <v>2570.11</v>
      </c>
      <c r="I52" s="4">
        <v>1859.56</v>
      </c>
      <c r="J52" s="4">
        <v>2032.29</v>
      </c>
      <c r="K52" s="4">
        <v>5680.09</v>
      </c>
      <c r="L52" s="4">
        <v>5680.09</v>
      </c>
    </row>
    <row r="53" spans="4:12">
      <c r="D53" t="s">
        <v>44</v>
      </c>
      <c r="H53" s="47">
        <v>0</v>
      </c>
      <c r="I53">
        <v>813.05</v>
      </c>
      <c r="J53" s="4">
        <v>1685.74</v>
      </c>
      <c r="K53" s="4">
        <v>1030.5</v>
      </c>
      <c r="L53">
        <v>827.51</v>
      </c>
    </row>
    <row r="54" spans="4:12">
      <c r="D54" t="s">
        <v>132</v>
      </c>
      <c r="H54" s="47">
        <v>0</v>
      </c>
      <c r="I54">
        <v>106.89</v>
      </c>
      <c r="J54">
        <v>427.78</v>
      </c>
      <c r="K54">
        <v>0</v>
      </c>
      <c r="L54">
        <v>0</v>
      </c>
    </row>
    <row r="55" spans="4:12">
      <c r="D55" s="5" t="s">
        <v>45</v>
      </c>
      <c r="H55" s="47">
        <v>0</v>
      </c>
    </row>
    <row r="56" spans="4:12">
      <c r="D56" t="s">
        <v>134</v>
      </c>
      <c r="H56">
        <v>142.86000000000001</v>
      </c>
      <c r="I56">
        <v>171.31</v>
      </c>
      <c r="J56">
        <v>165.07</v>
      </c>
      <c r="K56">
        <v>19.53</v>
      </c>
      <c r="L56">
        <v>19.53</v>
      </c>
    </row>
    <row r="57" spans="4:12">
      <c r="D57" t="s">
        <v>135</v>
      </c>
      <c r="H57" s="47">
        <v>0</v>
      </c>
      <c r="I57">
        <v>0</v>
      </c>
      <c r="J57">
        <v>22.06</v>
      </c>
    </row>
    <row r="58" spans="4:12">
      <c r="D58" t="s">
        <v>133</v>
      </c>
      <c r="H58">
        <v>270.60000000000002</v>
      </c>
      <c r="I58" s="4">
        <v>1085.73</v>
      </c>
      <c r="J58">
        <v>624.11</v>
      </c>
      <c r="K58">
        <v>257.72000000000003</v>
      </c>
      <c r="L58">
        <v>493.24</v>
      </c>
    </row>
    <row r="59" spans="4:12">
      <c r="D59" t="s">
        <v>46</v>
      </c>
      <c r="H59" s="47">
        <v>0</v>
      </c>
      <c r="I59">
        <v>0</v>
      </c>
      <c r="J59">
        <v>0</v>
      </c>
      <c r="K59">
        <v>250.97</v>
      </c>
      <c r="L59">
        <v>15.31</v>
      </c>
    </row>
    <row r="60" spans="4:12">
      <c r="D60" t="s">
        <v>47</v>
      </c>
      <c r="H60">
        <v>639.58000000000004</v>
      </c>
      <c r="I60">
        <v>924.57</v>
      </c>
      <c r="J60" s="4">
        <v>1294.8499999999999</v>
      </c>
      <c r="K60" s="4">
        <v>4473.3100000000004</v>
      </c>
      <c r="L60" s="4">
        <v>5167.12</v>
      </c>
    </row>
    <row r="61" spans="4:12">
      <c r="D61" s="5" t="s">
        <v>48</v>
      </c>
      <c r="H61" s="8">
        <v>19703.689999999999</v>
      </c>
      <c r="I61" s="8">
        <v>22931.15</v>
      </c>
      <c r="J61" s="8">
        <v>30980.95</v>
      </c>
      <c r="K61" s="8">
        <v>60259.97</v>
      </c>
      <c r="L61" s="8">
        <v>75762.509999999995</v>
      </c>
    </row>
    <row r="62" spans="4:12">
      <c r="D62" s="5" t="s">
        <v>49</v>
      </c>
    </row>
    <row r="63" spans="4:12">
      <c r="D63" t="s">
        <v>50</v>
      </c>
      <c r="H63" s="4">
        <v>6036.31</v>
      </c>
      <c r="I63" s="4">
        <v>11217.09</v>
      </c>
      <c r="J63" s="4">
        <v>11917.3</v>
      </c>
      <c r="K63" s="4">
        <v>15673.41</v>
      </c>
      <c r="L63" s="4">
        <v>17994.02</v>
      </c>
    </row>
    <row r="64" spans="4:12">
      <c r="D64" s="5" t="s">
        <v>51</v>
      </c>
      <c r="H64" s="4"/>
    </row>
    <row r="65" spans="4:13">
      <c r="D65" t="s">
        <v>52</v>
      </c>
      <c r="H65" s="4">
        <v>12069.09</v>
      </c>
      <c r="I65" s="4">
        <v>16370.22</v>
      </c>
      <c r="J65" s="4">
        <v>23026.11</v>
      </c>
      <c r="K65" s="4">
        <v>20635.21</v>
      </c>
      <c r="L65" s="4">
        <v>29049.47</v>
      </c>
    </row>
    <row r="66" spans="4:13">
      <c r="D66" t="s">
        <v>53</v>
      </c>
      <c r="H66">
        <v>268.45999999999998</v>
      </c>
      <c r="I66" s="4">
        <v>1029.6600000000001</v>
      </c>
      <c r="J66" s="4">
        <v>3053.26</v>
      </c>
      <c r="K66" s="4">
        <v>2970.44</v>
      </c>
      <c r="L66" s="4">
        <v>18522.43</v>
      </c>
    </row>
    <row r="67" spans="4:13">
      <c r="D67" t="s">
        <v>54</v>
      </c>
      <c r="H67" s="47">
        <v>0</v>
      </c>
      <c r="I67" s="4">
        <v>8925.49</v>
      </c>
      <c r="J67" s="4">
        <v>2813.76</v>
      </c>
      <c r="K67" s="4">
        <v>2360.75</v>
      </c>
      <c r="L67" s="4">
        <v>6370.4</v>
      </c>
    </row>
    <row r="68" spans="4:13">
      <c r="D68" t="s">
        <v>55</v>
      </c>
      <c r="H68">
        <v>33.43</v>
      </c>
      <c r="I68">
        <v>65.39</v>
      </c>
      <c r="J68">
        <v>133.58000000000001</v>
      </c>
      <c r="K68">
        <v>155.06</v>
      </c>
      <c r="L68">
        <v>215.98</v>
      </c>
    </row>
    <row r="69" spans="4:13">
      <c r="D69" t="s">
        <v>136</v>
      </c>
      <c r="H69" s="47">
        <v>0</v>
      </c>
      <c r="I69">
        <v>494.06</v>
      </c>
      <c r="J69">
        <v>322.08999999999997</v>
      </c>
      <c r="K69">
        <v>0</v>
      </c>
      <c r="L69">
        <v>0</v>
      </c>
    </row>
    <row r="70" spans="4:13">
      <c r="D70" t="s">
        <v>56</v>
      </c>
      <c r="H70" s="4">
        <v>3215.83</v>
      </c>
      <c r="I70" s="4">
        <v>4855.2299999999996</v>
      </c>
      <c r="J70" s="4">
        <v>4446.79</v>
      </c>
      <c r="K70" s="4">
        <v>7535.49</v>
      </c>
      <c r="L70" s="4">
        <v>7011.3</v>
      </c>
    </row>
    <row r="71" spans="4:13">
      <c r="D71" s="5" t="s">
        <v>57</v>
      </c>
      <c r="H71" s="8">
        <v>21623.119999999999</v>
      </c>
      <c r="I71" s="8">
        <v>42957.14</v>
      </c>
      <c r="J71" s="8">
        <v>45712.89</v>
      </c>
      <c r="K71" s="8">
        <v>49330.36</v>
      </c>
      <c r="L71" s="8">
        <v>79163.600000000006</v>
      </c>
    </row>
    <row r="72" spans="4:13">
      <c r="D72" s="5" t="s">
        <v>58</v>
      </c>
      <c r="H72" s="8">
        <v>41326.81</v>
      </c>
      <c r="I72" s="8">
        <v>65888.289999999994</v>
      </c>
      <c r="J72" s="8">
        <v>76693.84</v>
      </c>
      <c r="K72" s="8">
        <v>109590.33</v>
      </c>
      <c r="L72" s="8">
        <v>154926.10999999999</v>
      </c>
    </row>
    <row r="73" spans="4:13">
      <c r="D73" s="5" t="s">
        <v>59</v>
      </c>
    </row>
    <row r="74" spans="4:13">
      <c r="D74" s="5" t="s">
        <v>60</v>
      </c>
    </row>
    <row r="75" spans="4:13">
      <c r="D75" t="s">
        <v>61</v>
      </c>
      <c r="H75" s="4">
        <v>3150</v>
      </c>
      <c r="I75" s="4">
        <v>3643.71</v>
      </c>
      <c r="J75" s="4">
        <v>3643.71</v>
      </c>
      <c r="K75" s="4">
        <v>3688.06</v>
      </c>
      <c r="L75" s="4">
        <v>4093.45</v>
      </c>
    </row>
    <row r="76" spans="4:13">
      <c r="D76" t="s">
        <v>62</v>
      </c>
      <c r="H76" s="4">
        <v>13543.32</v>
      </c>
      <c r="I76" s="4">
        <v>48583.69</v>
      </c>
      <c r="J76" s="4">
        <v>55752.21</v>
      </c>
      <c r="K76" s="4">
        <v>63711.68</v>
      </c>
      <c r="L76" s="4">
        <v>126869.42</v>
      </c>
    </row>
    <row r="77" spans="4:13">
      <c r="D77" s="5" t="s">
        <v>63</v>
      </c>
      <c r="H77" s="8">
        <f>H76+H75</f>
        <v>16693.32</v>
      </c>
      <c r="I77" s="8">
        <f>I76+I75</f>
        <v>52227.4</v>
      </c>
      <c r="J77" s="8">
        <f>J76+J75</f>
        <v>59395.92</v>
      </c>
      <c r="K77" s="8">
        <v>67399.740000000005</v>
      </c>
      <c r="L77" s="8">
        <v>130962.87</v>
      </c>
      <c r="M77" s="4"/>
    </row>
    <row r="78" spans="4:13">
      <c r="D78" t="s">
        <v>64</v>
      </c>
      <c r="H78">
        <v>0</v>
      </c>
      <c r="I78">
        <v>0</v>
      </c>
      <c r="J78">
        <v>0</v>
      </c>
      <c r="K78">
        <v>876.06</v>
      </c>
      <c r="L78" s="4">
        <v>1045.17</v>
      </c>
    </row>
    <row r="79" spans="4:13">
      <c r="D79" s="5" t="s">
        <v>65</v>
      </c>
      <c r="H79" s="8">
        <v>16693.32</v>
      </c>
      <c r="I79" s="8">
        <v>52227.4</v>
      </c>
      <c r="J79" s="8">
        <v>59395.92</v>
      </c>
      <c r="K79" s="8">
        <v>68275.8</v>
      </c>
      <c r="L79" s="8">
        <v>132008.04</v>
      </c>
    </row>
    <row r="80" spans="4:13">
      <c r="D80" s="5" t="s">
        <v>66</v>
      </c>
    </row>
    <row r="81" spans="4:12">
      <c r="D81" s="5" t="s">
        <v>67</v>
      </c>
    </row>
    <row r="82" spans="4:12">
      <c r="D82" t="s">
        <v>68</v>
      </c>
      <c r="H82" s="4">
        <v>7264.42</v>
      </c>
      <c r="I82">
        <v>58.81</v>
      </c>
      <c r="J82">
        <v>62.59</v>
      </c>
      <c r="K82" s="4">
        <v>11364.12</v>
      </c>
      <c r="L82">
        <v>0</v>
      </c>
    </row>
    <row r="83" spans="4:12">
      <c r="D83" t="s">
        <v>69</v>
      </c>
      <c r="H83">
        <v>0</v>
      </c>
      <c r="I83">
        <v>0</v>
      </c>
      <c r="J83">
        <v>0</v>
      </c>
      <c r="K83">
        <v>0</v>
      </c>
      <c r="L83">
        <v>475.44</v>
      </c>
    </row>
    <row r="84" spans="4:12">
      <c r="D84" t="s">
        <v>70</v>
      </c>
      <c r="H84">
        <v>436.84</v>
      </c>
      <c r="I84">
        <v>43.6</v>
      </c>
      <c r="J84">
        <v>68.14</v>
      </c>
      <c r="K84">
        <v>131.6</v>
      </c>
      <c r="L84">
        <v>254.64</v>
      </c>
    </row>
    <row r="85" spans="4:12">
      <c r="D85" t="s">
        <v>71</v>
      </c>
      <c r="H85">
        <v>327.85</v>
      </c>
      <c r="I85">
        <v>626.42999999999995</v>
      </c>
      <c r="J85">
        <v>882.58</v>
      </c>
      <c r="K85" s="4">
        <v>1301.8</v>
      </c>
      <c r="L85" s="4">
        <v>1963.25</v>
      </c>
    </row>
    <row r="86" spans="4:12">
      <c r="D86" s="5" t="s">
        <v>72</v>
      </c>
      <c r="H86" s="5">
        <v>8029.11</v>
      </c>
      <c r="I86" s="5">
        <v>728.84</v>
      </c>
      <c r="J86" s="8">
        <v>1013.31</v>
      </c>
      <c r="K86" s="8">
        <v>12797.52</v>
      </c>
      <c r="L86" s="8">
        <v>2693.33</v>
      </c>
    </row>
    <row r="87" spans="4:12">
      <c r="D87" s="5" t="s">
        <v>73</v>
      </c>
    </row>
    <row r="88" spans="4:12">
      <c r="D88" s="5" t="s">
        <v>67</v>
      </c>
    </row>
    <row r="89" spans="4:12">
      <c r="D89" t="s">
        <v>68</v>
      </c>
      <c r="H89" s="4">
        <v>6399.15</v>
      </c>
      <c r="I89">
        <v>25.6</v>
      </c>
      <c r="J89">
        <v>297.44</v>
      </c>
      <c r="K89" s="4">
        <v>10300.540000000001</v>
      </c>
      <c r="L89">
        <v>818.43</v>
      </c>
    </row>
    <row r="90" spans="4:12">
      <c r="D90" t="s">
        <v>74</v>
      </c>
    </row>
    <row r="91" spans="4:12">
      <c r="D91" t="s">
        <v>75</v>
      </c>
      <c r="H91">
        <v>39.04</v>
      </c>
      <c r="I91" s="4">
        <v>1508.05</v>
      </c>
      <c r="J91" s="4">
        <v>7651.11</v>
      </c>
      <c r="K91" s="4">
        <v>2135.4699999999998</v>
      </c>
      <c r="L91" s="4">
        <v>5432.27</v>
      </c>
    </row>
    <row r="92" spans="4:12">
      <c r="D92" t="s">
        <v>76</v>
      </c>
      <c r="H92" s="4">
        <v>8438.4599999999991</v>
      </c>
      <c r="I92" s="4">
        <v>10333.709999999999</v>
      </c>
      <c r="J92" s="4">
        <v>6553.66</v>
      </c>
      <c r="K92" s="4">
        <v>11325.41</v>
      </c>
      <c r="L92" s="4">
        <v>10172.299999999999</v>
      </c>
    </row>
    <row r="93" spans="4:12">
      <c r="D93" t="s">
        <v>77</v>
      </c>
      <c r="H93" s="4">
        <v>1515.97</v>
      </c>
      <c r="I93">
        <v>462.64</v>
      </c>
      <c r="J93">
        <v>643.39</v>
      </c>
      <c r="K93" s="4">
        <v>3435.99</v>
      </c>
      <c r="L93" s="4">
        <v>1347.74</v>
      </c>
    </row>
    <row r="94" spans="4:12">
      <c r="D94" t="s">
        <v>70</v>
      </c>
      <c r="H94">
        <v>96.62</v>
      </c>
      <c r="I94">
        <v>602.04999999999995</v>
      </c>
      <c r="J94" s="4">
        <v>1139.01</v>
      </c>
      <c r="K94" s="4">
        <v>1319.6</v>
      </c>
      <c r="L94" s="4">
        <v>2454</v>
      </c>
    </row>
    <row r="95" spans="4:12">
      <c r="D95" t="s">
        <v>170</v>
      </c>
      <c r="H95">
        <v>115.16</v>
      </c>
      <c r="I95">
        <v>0</v>
      </c>
      <c r="J95">
        <v>0</v>
      </c>
      <c r="K95">
        <v>0</v>
      </c>
      <c r="L95">
        <v>0</v>
      </c>
    </row>
    <row r="96" spans="4:12">
      <c r="D96" s="5" t="s">
        <v>78</v>
      </c>
      <c r="H96" s="8">
        <v>16604.400000000001</v>
      </c>
      <c r="I96" s="8">
        <v>12932.05</v>
      </c>
      <c r="J96" s="8">
        <v>16284.61</v>
      </c>
      <c r="K96" s="8">
        <v>28517.01</v>
      </c>
      <c r="L96" s="8">
        <v>20224.740000000002</v>
      </c>
    </row>
    <row r="97" spans="1:17">
      <c r="D97" s="5" t="s">
        <v>79</v>
      </c>
      <c r="H97" s="8">
        <v>24633.5</v>
      </c>
      <c r="I97" s="8">
        <v>13660.89</v>
      </c>
      <c r="J97" s="8">
        <v>17297.919999999998</v>
      </c>
      <c r="K97" s="8">
        <v>41314.53</v>
      </c>
      <c r="L97" s="8">
        <v>22918.07</v>
      </c>
    </row>
    <row r="98" spans="1:17">
      <c r="D98" s="5" t="s">
        <v>80</v>
      </c>
      <c r="H98" s="8">
        <v>41326.81</v>
      </c>
      <c r="I98" s="8">
        <v>65888.289999999994</v>
      </c>
      <c r="J98" s="8">
        <v>76693.84</v>
      </c>
      <c r="K98" s="8">
        <v>109590.33</v>
      </c>
      <c r="L98" s="8">
        <v>154926.10999999999</v>
      </c>
    </row>
    <row r="104" spans="1:17" ht="15.5">
      <c r="A104" s="6" t="s">
        <v>81</v>
      </c>
      <c r="B104" s="7"/>
      <c r="C104" s="7"/>
      <c r="D104" s="7"/>
      <c r="E104" s="7"/>
      <c r="F104" s="7"/>
      <c r="G104" s="7"/>
      <c r="H104" s="12">
        <v>2021</v>
      </c>
      <c r="I104" s="12">
        <f t="shared" ref="I104:Q104" si="2">H104+1</f>
        <v>2022</v>
      </c>
      <c r="J104" s="12">
        <f t="shared" si="2"/>
        <v>2023</v>
      </c>
      <c r="K104" s="6">
        <f t="shared" si="2"/>
        <v>2024</v>
      </c>
      <c r="L104" s="6">
        <f t="shared" si="2"/>
        <v>2025</v>
      </c>
      <c r="M104" s="6">
        <f t="shared" si="2"/>
        <v>2026</v>
      </c>
      <c r="N104" s="6">
        <f t="shared" si="2"/>
        <v>2027</v>
      </c>
      <c r="O104" s="6">
        <f t="shared" si="2"/>
        <v>2028</v>
      </c>
      <c r="P104" s="6">
        <f t="shared" si="2"/>
        <v>2029</v>
      </c>
      <c r="Q104" s="6">
        <f t="shared" si="2"/>
        <v>2030</v>
      </c>
    </row>
    <row r="105" spans="1:17">
      <c r="D105" s="5" t="s">
        <v>82</v>
      </c>
    </row>
    <row r="106" spans="1:17">
      <c r="D106" t="s">
        <v>83</v>
      </c>
      <c r="H106" s="4">
        <v>7172.62</v>
      </c>
      <c r="I106" s="4">
        <v>9145.0400000000009</v>
      </c>
      <c r="J106">
        <v>11217.18</v>
      </c>
      <c r="K106" s="4">
        <v>8190.13</v>
      </c>
      <c r="L106" s="4">
        <v>21616.3</v>
      </c>
    </row>
    <row r="107" spans="1:17">
      <c r="D107" s="5" t="s">
        <v>84</v>
      </c>
    </row>
    <row r="108" spans="1:17">
      <c r="D108" t="s">
        <v>85</v>
      </c>
      <c r="H108">
        <v>418.8</v>
      </c>
      <c r="I108" s="4">
        <v>1008.02</v>
      </c>
      <c r="J108">
        <v>1234.24</v>
      </c>
      <c r="K108" s="4">
        <v>1605.52</v>
      </c>
      <c r="L108" s="4">
        <v>2662.14</v>
      </c>
    </row>
    <row r="109" spans="1:17">
      <c r="D109" t="s">
        <v>86</v>
      </c>
      <c r="H109">
        <v>1.78</v>
      </c>
      <c r="I109" t="s">
        <v>137</v>
      </c>
      <c r="J109">
        <v>74.66</v>
      </c>
      <c r="K109">
        <v>-20.84</v>
      </c>
      <c r="L109">
        <v>-1.43</v>
      </c>
    </row>
    <row r="110" spans="1:17">
      <c r="D110" t="s">
        <v>87</v>
      </c>
      <c r="H110">
        <v>0</v>
      </c>
      <c r="I110">
        <v>0</v>
      </c>
      <c r="J110">
        <v>0</v>
      </c>
      <c r="K110">
        <v>0</v>
      </c>
      <c r="L110">
        <v>208.71</v>
      </c>
    </row>
    <row r="111" spans="1:17">
      <c r="D111" t="s">
        <v>88</v>
      </c>
      <c r="H111">
        <v>510.81</v>
      </c>
      <c r="I111">
        <v>544.91</v>
      </c>
      <c r="J111">
        <v>241.23</v>
      </c>
      <c r="K111">
        <v>594.03</v>
      </c>
      <c r="L111">
        <v>621.84</v>
      </c>
    </row>
    <row r="112" spans="1:17">
      <c r="D112" t="s">
        <v>89</v>
      </c>
      <c r="H112">
        <v>-19.53</v>
      </c>
      <c r="I112">
        <v>-258.17</v>
      </c>
      <c r="J112">
        <v>-217.89</v>
      </c>
      <c r="K112">
        <v>-219.58</v>
      </c>
      <c r="L112" s="4">
        <v>-1079.58</v>
      </c>
    </row>
    <row r="113" spans="4:13">
      <c r="D113" t="s">
        <v>90</v>
      </c>
      <c r="H113">
        <v>-3.73</v>
      </c>
      <c r="I113">
        <v>0</v>
      </c>
      <c r="J113">
        <v>0</v>
      </c>
      <c r="K113">
        <v>230.62</v>
      </c>
      <c r="L113">
        <v>92.59</v>
      </c>
    </row>
    <row r="114" spans="4:13">
      <c r="D114" t="s">
        <v>91</v>
      </c>
      <c r="H114">
        <v>0</v>
      </c>
      <c r="I114" s="48" t="s">
        <v>137</v>
      </c>
      <c r="J114">
        <v>-0.03</v>
      </c>
      <c r="K114">
        <v>0</v>
      </c>
      <c r="L114">
        <v>-0.04</v>
      </c>
    </row>
    <row r="115" spans="4:13">
      <c r="D115" t="s">
        <v>138</v>
      </c>
      <c r="H115">
        <v>-85.18</v>
      </c>
      <c r="I115">
        <v>128.79</v>
      </c>
      <c r="J115">
        <v>290.36</v>
      </c>
      <c r="K115">
        <v>0</v>
      </c>
      <c r="L115">
        <v>0</v>
      </c>
    </row>
    <row r="116" spans="4:13">
      <c r="D116" t="s">
        <v>92</v>
      </c>
      <c r="H116">
        <v>-21.34</v>
      </c>
      <c r="I116">
        <v>-59.24</v>
      </c>
      <c r="J116">
        <v>-213.23</v>
      </c>
      <c r="K116">
        <v>-418.91</v>
      </c>
      <c r="L116">
        <v>-611.89</v>
      </c>
    </row>
    <row r="117" spans="4:13">
      <c r="D117" t="s">
        <v>93</v>
      </c>
      <c r="H117">
        <v>0</v>
      </c>
      <c r="I117">
        <v>0</v>
      </c>
      <c r="J117">
        <v>0</v>
      </c>
      <c r="K117">
        <v>32.99</v>
      </c>
      <c r="L117">
        <v>0</v>
      </c>
    </row>
    <row r="118" spans="4:13">
      <c r="D118" t="s">
        <v>94</v>
      </c>
      <c r="H118">
        <v>0</v>
      </c>
      <c r="I118">
        <v>0</v>
      </c>
      <c r="J118">
        <v>0</v>
      </c>
      <c r="K118" s="4">
        <v>3175.39</v>
      </c>
      <c r="L118">
        <v>0</v>
      </c>
    </row>
    <row r="119" spans="4:13">
      <c r="D119" s="60" t="s">
        <v>215</v>
      </c>
      <c r="H119">
        <f>SUM(H108:H118)</f>
        <v>801.61</v>
      </c>
      <c r="I119">
        <f>SUM(I108:I118)</f>
        <v>1364.3099999999997</v>
      </c>
      <c r="J119">
        <f>SUM(J108:J118)</f>
        <v>1409.3400000000001</v>
      </c>
      <c r="K119">
        <f>SUM(K108:K118)</f>
        <v>4979.2199999999993</v>
      </c>
      <c r="L119">
        <f>SUM(L108:L118)</f>
        <v>1892.3400000000006</v>
      </c>
    </row>
    <row r="120" spans="4:13">
      <c r="D120" s="5" t="s">
        <v>95</v>
      </c>
      <c r="H120" s="8">
        <v>7974.22</v>
      </c>
      <c r="I120" s="8">
        <v>10509.35</v>
      </c>
      <c r="J120" s="5">
        <v>12626.52</v>
      </c>
      <c r="K120" s="8">
        <v>13169.35</v>
      </c>
      <c r="L120" s="8">
        <v>23508.639999999999</v>
      </c>
      <c r="M120" s="4"/>
    </row>
    <row r="121" spans="4:13">
      <c r="D121" s="5" t="s">
        <v>96</v>
      </c>
    </row>
    <row r="122" spans="4:13">
      <c r="D122" t="s">
        <v>97</v>
      </c>
      <c r="H122" s="4">
        <v>-6416.98</v>
      </c>
      <c r="I122" s="4">
        <v>-4145.5</v>
      </c>
      <c r="J122" s="4">
        <v>-6442.66</v>
      </c>
      <c r="K122" s="4">
        <v>3000.27</v>
      </c>
      <c r="L122" s="4">
        <v>-8011.08</v>
      </c>
    </row>
    <row r="123" spans="4:13">
      <c r="D123" t="s">
        <v>98</v>
      </c>
      <c r="H123">
        <v>-5.72</v>
      </c>
      <c r="I123">
        <v>-31.95</v>
      </c>
      <c r="J123">
        <v>-90.24</v>
      </c>
      <c r="K123">
        <v>-246.69</v>
      </c>
      <c r="L123">
        <v>-60.92</v>
      </c>
    </row>
    <row r="124" spans="4:13">
      <c r="D124" t="s">
        <v>99</v>
      </c>
      <c r="H124">
        <v>24.94</v>
      </c>
      <c r="I124">
        <v>-815.13</v>
      </c>
      <c r="J124">
        <v>461.62</v>
      </c>
      <c r="K124">
        <v>345.65</v>
      </c>
      <c r="L124">
        <v>-235.52</v>
      </c>
    </row>
    <row r="125" spans="4:13">
      <c r="D125" t="s">
        <v>100</v>
      </c>
      <c r="H125">
        <v>-802.14</v>
      </c>
      <c r="I125" s="4">
        <v>-5180.78</v>
      </c>
      <c r="J125">
        <v>-700.21</v>
      </c>
      <c r="K125" s="4">
        <v>-3508.19</v>
      </c>
      <c r="L125" s="4">
        <v>-2320.61</v>
      </c>
    </row>
    <row r="126" spans="4:13">
      <c r="D126" t="s">
        <v>101</v>
      </c>
      <c r="H126" s="4">
        <v>-1504.5</v>
      </c>
      <c r="I126" s="4">
        <v>-1655.48</v>
      </c>
      <c r="J126">
        <v>38.159999999999997</v>
      </c>
      <c r="K126" s="4">
        <v>-2841.71</v>
      </c>
      <c r="L126">
        <v>524.19000000000005</v>
      </c>
    </row>
    <row r="127" spans="4:13">
      <c r="D127" t="s">
        <v>102</v>
      </c>
      <c r="H127" s="4">
        <v>3342.37</v>
      </c>
      <c r="I127" s="4">
        <v>3267.88</v>
      </c>
      <c r="J127">
        <v>2363.0100000000002</v>
      </c>
      <c r="K127" s="4">
        <v>2359.61</v>
      </c>
      <c r="L127" s="4">
        <v>2143.69</v>
      </c>
    </row>
    <row r="128" spans="4:13">
      <c r="D128" t="s">
        <v>103</v>
      </c>
      <c r="H128" s="4">
        <v>1352.2</v>
      </c>
      <c r="I128" s="4">
        <v>-1053.33</v>
      </c>
      <c r="J128">
        <v>180.75</v>
      </c>
      <c r="K128" s="4">
        <v>2487.6</v>
      </c>
      <c r="L128">
        <v>-280.31</v>
      </c>
    </row>
    <row r="129" spans="2:17">
      <c r="D129" t="s">
        <v>104</v>
      </c>
      <c r="H129">
        <v>249.17</v>
      </c>
      <c r="I129">
        <v>192.84</v>
      </c>
      <c r="J129">
        <v>561.49</v>
      </c>
      <c r="K129">
        <v>185.7</v>
      </c>
      <c r="L129" s="4">
        <v>1239.96</v>
      </c>
    </row>
    <row r="130" spans="2:17">
      <c r="D130" s="60" t="s">
        <v>215</v>
      </c>
      <c r="H130" s="4">
        <f>SUM(H122:H129)</f>
        <v>-3760.6600000000017</v>
      </c>
      <c r="I130" s="4">
        <f>SUM(I122:I129)</f>
        <v>-9421.4499999999989</v>
      </c>
      <c r="J130" s="4">
        <f>SUM(J122:J129)</f>
        <v>-3628.08</v>
      </c>
      <c r="K130" s="4">
        <f>SUM(K122:K129)</f>
        <v>1782.24</v>
      </c>
      <c r="L130" s="4">
        <f>SUM(L122:L129)</f>
        <v>-7000.5999999999995</v>
      </c>
    </row>
    <row r="131" spans="2:17">
      <c r="D131" s="5" t="s">
        <v>105</v>
      </c>
      <c r="H131" s="5">
        <v>4213.5600000000004</v>
      </c>
      <c r="I131" s="8">
        <v>1087.9100000000001</v>
      </c>
      <c r="J131" s="5">
        <v>8998.44</v>
      </c>
      <c r="K131" s="8">
        <v>14951.59</v>
      </c>
      <c r="L131" s="8">
        <v>16508.04</v>
      </c>
    </row>
    <row r="132" spans="2:17">
      <c r="D132" t="s">
        <v>106</v>
      </c>
      <c r="H132" s="4">
        <v>-1417.52</v>
      </c>
      <c r="I132" s="4">
        <v>-2281.38</v>
      </c>
      <c r="J132" s="4">
        <v>-2445.44</v>
      </c>
      <c r="K132" s="4">
        <v>-2434.62</v>
      </c>
      <c r="L132" s="4">
        <v>-4673.7700000000004</v>
      </c>
    </row>
    <row r="133" spans="2:17">
      <c r="B133" s="10"/>
      <c r="C133" s="10"/>
      <c r="D133" s="9" t="s">
        <v>107</v>
      </c>
      <c r="E133" s="10"/>
      <c r="F133" s="10"/>
      <c r="G133" s="10"/>
      <c r="H133" s="11">
        <v>2796.04</v>
      </c>
      <c r="I133" s="11">
        <v>-1193.47</v>
      </c>
      <c r="J133" s="13">
        <v>6553</v>
      </c>
      <c r="K133" s="11">
        <v>12516.97</v>
      </c>
      <c r="L133" s="11">
        <v>11834.27</v>
      </c>
      <c r="M133" s="10"/>
      <c r="N133" s="10"/>
      <c r="O133" s="10"/>
      <c r="P133" s="10"/>
      <c r="Q133" s="10"/>
    </row>
    <row r="134" spans="2:17">
      <c r="D134" s="5" t="s">
        <v>108</v>
      </c>
    </row>
    <row r="135" spans="2:17">
      <c r="D135" t="s">
        <v>141</v>
      </c>
      <c r="H135">
        <v>0</v>
      </c>
      <c r="I135" s="4">
        <v>-8925.49</v>
      </c>
      <c r="J135" s="4">
        <v>6111.73</v>
      </c>
      <c r="K135" s="4">
        <v>1302.53</v>
      </c>
      <c r="L135" s="4">
        <v>-4009.65</v>
      </c>
    </row>
    <row r="136" spans="2:17">
      <c r="D136" t="s">
        <v>171</v>
      </c>
      <c r="H136" s="4">
        <v>-10711.48</v>
      </c>
      <c r="I136" s="4">
        <v>-3375.81</v>
      </c>
      <c r="J136" s="4">
        <v>-7834.94</v>
      </c>
      <c r="K136" s="4">
        <v>-31467.75</v>
      </c>
      <c r="L136" s="4">
        <v>-19464.29</v>
      </c>
    </row>
    <row r="137" spans="2:17">
      <c r="D137" t="s">
        <v>109</v>
      </c>
    </row>
    <row r="138" spans="2:17">
      <c r="D138" t="s">
        <v>172</v>
      </c>
      <c r="H138">
        <v>253.75</v>
      </c>
      <c r="I138">
        <v>0</v>
      </c>
      <c r="J138">
        <v>0</v>
      </c>
      <c r="K138">
        <v>0</v>
      </c>
      <c r="L138">
        <v>0</v>
      </c>
    </row>
    <row r="139" spans="2:17">
      <c r="D139" t="s">
        <v>173</v>
      </c>
    </row>
    <row r="140" spans="2:17">
      <c r="D140" t="s">
        <v>139</v>
      </c>
      <c r="H140">
        <v>0</v>
      </c>
      <c r="I140" t="s">
        <v>137</v>
      </c>
      <c r="J140" s="4">
        <v>-1805.35</v>
      </c>
      <c r="K140">
        <v>0</v>
      </c>
      <c r="L140">
        <v>0</v>
      </c>
    </row>
    <row r="141" spans="2:17">
      <c r="D141" t="s">
        <v>110</v>
      </c>
      <c r="H141">
        <v>317.69</v>
      </c>
      <c r="I141">
        <v>-28.45</v>
      </c>
      <c r="J141">
        <v>6.24</v>
      </c>
      <c r="K141" s="4">
        <v>-6603.21</v>
      </c>
      <c r="L141">
        <v>0</v>
      </c>
    </row>
    <row r="142" spans="2:17">
      <c r="D142" t="s">
        <v>140</v>
      </c>
      <c r="H142">
        <v>0</v>
      </c>
      <c r="I142">
        <v>0</v>
      </c>
      <c r="J142" s="4">
        <v>0</v>
      </c>
      <c r="K142" s="4">
        <v>0</v>
      </c>
      <c r="L142">
        <v>0</v>
      </c>
    </row>
    <row r="143" spans="2:17">
      <c r="D143" t="s">
        <v>111</v>
      </c>
      <c r="H143">
        <v>0</v>
      </c>
      <c r="I143">
        <v>0</v>
      </c>
      <c r="J143">
        <v>0.03</v>
      </c>
      <c r="K143">
        <v>0</v>
      </c>
      <c r="L143">
        <v>0.04</v>
      </c>
    </row>
    <row r="144" spans="2:17">
      <c r="D144" t="s">
        <v>112</v>
      </c>
      <c r="H144">
        <v>19.53</v>
      </c>
      <c r="I144">
        <v>258.18</v>
      </c>
      <c r="J144">
        <v>217.89</v>
      </c>
      <c r="K144">
        <v>229.08</v>
      </c>
      <c r="L144" s="4">
        <v>1079.58</v>
      </c>
    </row>
    <row r="145" spans="2:17">
      <c r="B145" s="10"/>
      <c r="C145" s="10"/>
      <c r="D145" s="9" t="s">
        <v>113</v>
      </c>
      <c r="E145" s="10"/>
      <c r="F145" s="10"/>
      <c r="G145" s="10"/>
      <c r="H145" s="11">
        <v>-10120.51</v>
      </c>
      <c r="I145" s="11">
        <v>-12071.57</v>
      </c>
      <c r="J145" s="11">
        <v>-3304.4</v>
      </c>
      <c r="K145" s="11">
        <v>-36539.35</v>
      </c>
      <c r="L145" s="11">
        <v>-22394.32</v>
      </c>
      <c r="M145" s="10"/>
      <c r="N145" s="10"/>
      <c r="O145" s="10"/>
      <c r="P145" s="10"/>
      <c r="Q145" s="10"/>
    </row>
    <row r="146" spans="2:17">
      <c r="D146" s="5" t="s">
        <v>114</v>
      </c>
      <c r="J146" s="4"/>
    </row>
    <row r="147" spans="2:17">
      <c r="D147" t="s">
        <v>115</v>
      </c>
      <c r="H147" s="4">
        <v>7721.63</v>
      </c>
      <c r="I147" s="4">
        <v>-13579.16</v>
      </c>
      <c r="J147">
        <v>0</v>
      </c>
      <c r="K147" s="4">
        <v>12967.37</v>
      </c>
      <c r="L147" s="4">
        <v>-11364.12</v>
      </c>
    </row>
    <row r="148" spans="2:17">
      <c r="D148" t="s">
        <v>116</v>
      </c>
      <c r="H148">
        <v>0</v>
      </c>
      <c r="I148">
        <v>0</v>
      </c>
      <c r="J148">
        <v>275.64</v>
      </c>
      <c r="K148" s="4">
        <v>8840.3799999999992</v>
      </c>
      <c r="L148" s="4">
        <v>-9482.11</v>
      </c>
    </row>
    <row r="149" spans="2:17">
      <c r="D149" t="s">
        <v>88</v>
      </c>
      <c r="H149">
        <v>-510.8</v>
      </c>
      <c r="I149">
        <v>-544.91</v>
      </c>
      <c r="J149">
        <v>-241.23</v>
      </c>
      <c r="K149">
        <v>-594.03</v>
      </c>
      <c r="L149">
        <v>-619.79</v>
      </c>
    </row>
    <row r="150" spans="2:17">
      <c r="D150" t="s">
        <v>117</v>
      </c>
      <c r="H150" t="s">
        <v>137</v>
      </c>
      <c r="I150">
        <v>0</v>
      </c>
      <c r="J150">
        <v>0</v>
      </c>
      <c r="K150">
        <v>0</v>
      </c>
      <c r="L150">
        <v>-33.64</v>
      </c>
    </row>
    <row r="151" spans="2:17">
      <c r="D151" t="s">
        <v>118</v>
      </c>
      <c r="H151" t="s">
        <v>137</v>
      </c>
      <c r="I151">
        <v>0</v>
      </c>
      <c r="J151">
        <v>0</v>
      </c>
      <c r="K151" s="4">
        <v>-1478.88</v>
      </c>
      <c r="L151">
        <v>0</v>
      </c>
    </row>
    <row r="152" spans="2:17">
      <c r="D152" t="s">
        <v>119</v>
      </c>
      <c r="H152" t="s">
        <v>137</v>
      </c>
      <c r="I152">
        <v>0</v>
      </c>
      <c r="J152" s="4">
        <v>-1093.57</v>
      </c>
      <c r="K152" s="4">
        <v>-1093.1099999999999</v>
      </c>
      <c r="L152" s="4">
        <v>-1227.83</v>
      </c>
    </row>
    <row r="153" spans="2:17">
      <c r="D153" t="s">
        <v>120</v>
      </c>
      <c r="H153">
        <v>0</v>
      </c>
      <c r="I153" s="4">
        <v>29999.99</v>
      </c>
      <c r="J153" t="s">
        <v>137</v>
      </c>
      <c r="K153" s="4">
        <v>5185.41</v>
      </c>
      <c r="L153" s="4">
        <v>49938.89</v>
      </c>
    </row>
    <row r="154" spans="2:17">
      <c r="D154" t="s">
        <v>121</v>
      </c>
      <c r="H154" t="s">
        <v>137</v>
      </c>
      <c r="I154">
        <v>0</v>
      </c>
      <c r="J154" t="s">
        <v>137</v>
      </c>
      <c r="K154">
        <v>115.22</v>
      </c>
      <c r="L154">
        <v>0</v>
      </c>
    </row>
    <row r="155" spans="2:17">
      <c r="D155" t="s">
        <v>122</v>
      </c>
      <c r="H155">
        <v>0</v>
      </c>
      <c r="I155" s="4">
        <v>-1849.67</v>
      </c>
      <c r="J155">
        <v>-165.84</v>
      </c>
      <c r="K155">
        <v>-6</v>
      </c>
      <c r="L155" s="4">
        <v>-1099.3599999999999</v>
      </c>
    </row>
    <row r="156" spans="2:17" s="5" customFormat="1">
      <c r="B156" s="13"/>
      <c r="C156" s="13"/>
      <c r="D156" s="9" t="s">
        <v>123</v>
      </c>
      <c r="E156" s="13"/>
      <c r="F156" s="13"/>
      <c r="G156" s="13"/>
      <c r="H156" s="11">
        <v>7210.83</v>
      </c>
      <c r="I156" s="11">
        <v>14026.25</v>
      </c>
      <c r="J156" s="11">
        <v>-1225</v>
      </c>
      <c r="K156" s="11">
        <v>23936.36</v>
      </c>
      <c r="L156" s="11">
        <v>26112.04</v>
      </c>
      <c r="M156" s="13"/>
      <c r="N156" s="13"/>
      <c r="O156" s="13"/>
      <c r="P156" s="13"/>
      <c r="Q156" s="13"/>
    </row>
    <row r="157" spans="2:17">
      <c r="D157" t="s">
        <v>127</v>
      </c>
      <c r="H157">
        <v>-113.7</v>
      </c>
      <c r="I157">
        <v>761.2</v>
      </c>
      <c r="J157" s="4">
        <v>2023.6</v>
      </c>
      <c r="K157">
        <v>-86.02</v>
      </c>
      <c r="L157" s="4">
        <v>15551.99</v>
      </c>
    </row>
    <row r="158" spans="2:17">
      <c r="D158" t="s">
        <v>124</v>
      </c>
      <c r="H158">
        <v>382.16</v>
      </c>
      <c r="I158">
        <v>268.45999999999998</v>
      </c>
      <c r="J158">
        <v>1029.6600000000001</v>
      </c>
      <c r="K158" s="4">
        <v>3053.26</v>
      </c>
      <c r="L158" s="4">
        <v>2970.44</v>
      </c>
    </row>
    <row r="159" spans="2:17">
      <c r="D159" t="s">
        <v>125</v>
      </c>
      <c r="H159">
        <v>0.06</v>
      </c>
      <c r="I159" t="s">
        <v>137</v>
      </c>
      <c r="J159">
        <v>0</v>
      </c>
      <c r="K159">
        <v>3.2</v>
      </c>
      <c r="L159">
        <v>0</v>
      </c>
    </row>
    <row r="160" spans="2:17" s="5" customFormat="1">
      <c r="D160" s="5" t="s">
        <v>126</v>
      </c>
      <c r="H160" s="5">
        <v>268.45999999999998</v>
      </c>
      <c r="I160" s="8">
        <v>1029.6600000000001</v>
      </c>
      <c r="J160" s="5">
        <v>3053.26</v>
      </c>
      <c r="K160" s="8">
        <v>2970.44</v>
      </c>
      <c r="L160" s="8">
        <v>18522.43</v>
      </c>
    </row>
    <row r="166" spans="1:21" ht="15.5">
      <c r="A166" s="12" t="s">
        <v>128</v>
      </c>
      <c r="B166" s="7"/>
      <c r="C166" s="7"/>
      <c r="D166" s="7"/>
      <c r="E166" s="7"/>
      <c r="F166" s="7"/>
      <c r="G166" s="7"/>
      <c r="H166" s="12">
        <v>2021</v>
      </c>
      <c r="I166" s="12">
        <f>H166+1</f>
        <v>2022</v>
      </c>
      <c r="J166" s="12">
        <f>I166+1</f>
        <v>2023</v>
      </c>
      <c r="K166" s="12">
        <f>J166+1</f>
        <v>2024</v>
      </c>
      <c r="L166" s="6">
        <f>K166+1</f>
        <v>2025</v>
      </c>
      <c r="M166" s="6" t="s">
        <v>261</v>
      </c>
      <c r="N166" s="6" t="s">
        <v>260</v>
      </c>
      <c r="O166" s="6"/>
      <c r="P166" s="6"/>
      <c r="Q166" s="6"/>
    </row>
    <row r="167" spans="1:21">
      <c r="D167" t="s">
        <v>129</v>
      </c>
      <c r="K167" s="4">
        <v>31332.15</v>
      </c>
      <c r="L167" s="4">
        <v>25737.78</v>
      </c>
      <c r="M167" s="75">
        <f>_xlfn.RRI(1,K167,L167)</f>
        <v>-0.17855046653357665</v>
      </c>
      <c r="N167" s="4">
        <f>L167*(1+M167)</f>
        <v>21142.28737346144</v>
      </c>
    </row>
    <row r="168" spans="1:21">
      <c r="D168" t="s">
        <v>130</v>
      </c>
      <c r="K168" s="4">
        <v>39969.019999999997</v>
      </c>
      <c r="L168" s="4">
        <v>74258.899999999994</v>
      </c>
      <c r="M168" s="75">
        <f>_xlfn.RRI(1,K168,L168)</f>
        <v>0.85791145241989919</v>
      </c>
      <c r="N168" s="4">
        <f>L168*(1+M168)</f>
        <v>137966.46075410405</v>
      </c>
    </row>
    <row r="169" spans="1:21">
      <c r="B169" s="13"/>
      <c r="C169" s="13"/>
      <c r="D169" s="9" t="s">
        <v>131</v>
      </c>
      <c r="E169" s="13"/>
      <c r="F169" s="13"/>
      <c r="G169" s="13"/>
      <c r="H169" s="13"/>
      <c r="I169" s="13"/>
      <c r="J169" s="13"/>
      <c r="K169" s="11">
        <v>71301.17</v>
      </c>
      <c r="L169" s="11">
        <v>99996.68</v>
      </c>
      <c r="M169" s="10"/>
      <c r="N169" s="11">
        <f>SUM(N167:N168)</f>
        <v>159108.74812756549</v>
      </c>
      <c r="O169" s="10"/>
      <c r="P169" s="10"/>
      <c r="Q169" s="10"/>
    </row>
    <row r="172" spans="1:21">
      <c r="R172">
        <v>100</v>
      </c>
    </row>
    <row r="174" spans="1:21">
      <c r="A174" s="12" t="s">
        <v>151</v>
      </c>
      <c r="B174" s="7"/>
      <c r="C174" s="7"/>
      <c r="D174" s="7"/>
      <c r="E174" s="7"/>
      <c r="F174" s="7"/>
      <c r="G174" s="7"/>
      <c r="H174" s="15">
        <v>44986</v>
      </c>
      <c r="I174" s="15">
        <v>45078</v>
      </c>
      <c r="J174" s="15">
        <v>45170</v>
      </c>
      <c r="K174" s="15">
        <v>45261</v>
      </c>
      <c r="L174" s="15">
        <v>45352</v>
      </c>
      <c r="M174" s="15">
        <v>45444</v>
      </c>
      <c r="N174" s="15">
        <v>45536</v>
      </c>
      <c r="O174" s="15">
        <v>45627</v>
      </c>
      <c r="P174" s="15">
        <v>45717</v>
      </c>
      <c r="Q174" s="15">
        <v>45809</v>
      </c>
      <c r="R174" s="15">
        <v>45901</v>
      </c>
      <c r="S174" s="15">
        <v>45992</v>
      </c>
      <c r="T174" s="74" t="s">
        <v>259</v>
      </c>
      <c r="U174" s="5" t="s">
        <v>260</v>
      </c>
    </row>
    <row r="175" spans="1:21">
      <c r="D175" t="s">
        <v>142</v>
      </c>
      <c r="J175">
        <v>17236</v>
      </c>
      <c r="K175">
        <v>16644</v>
      </c>
      <c r="L175">
        <v>22496</v>
      </c>
      <c r="M175">
        <v>17667</v>
      </c>
      <c r="N175">
        <v>24673</v>
      </c>
      <c r="O175">
        <v>27499</v>
      </c>
      <c r="P175">
        <v>30848</v>
      </c>
      <c r="Q175">
        <v>20724</v>
      </c>
      <c r="R175">
        <v>30620</v>
      </c>
      <c r="S175">
        <v>39318</v>
      </c>
      <c r="T175" s="54">
        <f>P175*1.28</f>
        <v>39485.440000000002</v>
      </c>
      <c r="U175" s="54">
        <f>SUM(Q175:T175)</f>
        <v>130147.44</v>
      </c>
    </row>
    <row r="176" spans="1:21">
      <c r="D176" t="s">
        <v>258</v>
      </c>
      <c r="Q176" s="71">
        <f>Q175/M175-1</f>
        <v>0.17303447104771608</v>
      </c>
      <c r="R176" s="71">
        <f>R175/N175-1</f>
        <v>0.2410327078182628</v>
      </c>
      <c r="S176" s="71">
        <f>S175/O175-1</f>
        <v>0.42979744717989754</v>
      </c>
      <c r="T176" s="71">
        <f>AVERAGE(Q176:S176)</f>
        <v>0.28128820868195881</v>
      </c>
    </row>
    <row r="177" spans="4:19">
      <c r="D177" t="s">
        <v>143</v>
      </c>
      <c r="J177">
        <v>14754</v>
      </c>
      <c r="K177">
        <v>13993</v>
      </c>
      <c r="L177">
        <v>18180</v>
      </c>
      <c r="M177">
        <v>14715</v>
      </c>
      <c r="N177">
        <v>19780</v>
      </c>
      <c r="O177">
        <v>20632</v>
      </c>
      <c r="P177">
        <v>22353</v>
      </c>
      <c r="Q177">
        <v>15633.000000000002</v>
      </c>
      <c r="R177">
        <v>21088</v>
      </c>
      <c r="S177">
        <v>24253</v>
      </c>
    </row>
    <row r="178" spans="4:19">
      <c r="D178" t="s">
        <v>144</v>
      </c>
      <c r="J178">
        <v>-3025</v>
      </c>
      <c r="K178">
        <v>349</v>
      </c>
      <c r="L178">
        <v>101</v>
      </c>
      <c r="M178">
        <v>104</v>
      </c>
      <c r="N178">
        <v>844</v>
      </c>
      <c r="O178">
        <v>167</v>
      </c>
      <c r="P178">
        <v>578</v>
      </c>
      <c r="Q178">
        <v>1594</v>
      </c>
      <c r="R178">
        <v>984</v>
      </c>
      <c r="S178">
        <v>470</v>
      </c>
    </row>
    <row r="179" spans="4:19">
      <c r="D179" t="s">
        <v>145</v>
      </c>
      <c r="J179">
        <v>369</v>
      </c>
      <c r="K179">
        <v>376</v>
      </c>
      <c r="L179">
        <v>490.00000000000006</v>
      </c>
      <c r="M179">
        <v>618</v>
      </c>
      <c r="N179">
        <v>683</v>
      </c>
      <c r="O179">
        <v>632</v>
      </c>
      <c r="P179">
        <v>730</v>
      </c>
      <c r="Q179">
        <v>813.00000000000011</v>
      </c>
      <c r="R179">
        <v>840</v>
      </c>
      <c r="S179">
        <v>982</v>
      </c>
    </row>
    <row r="180" spans="4:19">
      <c r="D180" t="s">
        <v>146</v>
      </c>
      <c r="J180">
        <v>82</v>
      </c>
      <c r="K180">
        <v>254</v>
      </c>
      <c r="L180">
        <v>206.99999999999997</v>
      </c>
      <c r="M180">
        <v>443</v>
      </c>
      <c r="N180">
        <v>50</v>
      </c>
      <c r="O180">
        <v>69</v>
      </c>
      <c r="P180">
        <v>60</v>
      </c>
      <c r="Q180">
        <v>64</v>
      </c>
      <c r="R180">
        <v>57.999999999999993</v>
      </c>
      <c r="S180">
        <v>86</v>
      </c>
    </row>
    <row r="181" spans="4:19">
      <c r="D181" t="s">
        <v>147</v>
      </c>
      <c r="J181">
        <v>-994</v>
      </c>
      <c r="K181">
        <v>2370</v>
      </c>
      <c r="L181">
        <v>3720.0000000000005</v>
      </c>
      <c r="M181">
        <v>1995</v>
      </c>
      <c r="N181">
        <v>5004</v>
      </c>
      <c r="O181">
        <v>6333</v>
      </c>
      <c r="P181">
        <v>8283</v>
      </c>
      <c r="Q181">
        <v>5808</v>
      </c>
      <c r="R181">
        <v>9618</v>
      </c>
      <c r="S181">
        <v>14466.999999999998</v>
      </c>
    </row>
    <row r="182" spans="4:19">
      <c r="D182" t="s">
        <v>148</v>
      </c>
      <c r="J182">
        <v>708</v>
      </c>
      <c r="K182">
        <v>589</v>
      </c>
      <c r="L182">
        <v>1153</v>
      </c>
      <c r="M182">
        <v>526</v>
      </c>
      <c r="N182">
        <v>1248</v>
      </c>
      <c r="O182">
        <v>1789</v>
      </c>
      <c r="P182">
        <v>2012</v>
      </c>
      <c r="Q182">
        <v>1407</v>
      </c>
      <c r="R182">
        <v>2432</v>
      </c>
      <c r="S182">
        <v>3844</v>
      </c>
    </row>
    <row r="183" spans="4:19">
      <c r="D183" t="s">
        <v>149</v>
      </c>
      <c r="J183">
        <v>-1885.0000000000002</v>
      </c>
      <c r="K183">
        <v>1675</v>
      </c>
      <c r="L183">
        <v>2515</v>
      </c>
      <c r="M183">
        <v>1395</v>
      </c>
      <c r="N183">
        <v>3733</v>
      </c>
      <c r="O183">
        <v>4495</v>
      </c>
      <c r="P183">
        <v>6248</v>
      </c>
      <c r="Q183">
        <v>4429</v>
      </c>
      <c r="R183">
        <v>7223.9999999999991</v>
      </c>
      <c r="S183">
        <v>10796</v>
      </c>
    </row>
    <row r="184" spans="4:19">
      <c r="D184" t="s">
        <v>150</v>
      </c>
      <c r="J184">
        <v>2482</v>
      </c>
      <c r="K184">
        <v>2651</v>
      </c>
      <c r="L184">
        <v>4316</v>
      </c>
      <c r="M184">
        <v>2952</v>
      </c>
      <c r="N184">
        <v>4893</v>
      </c>
      <c r="O184">
        <v>6867</v>
      </c>
      <c r="P184">
        <v>8495</v>
      </c>
      <c r="Q184">
        <v>5091</v>
      </c>
      <c r="R184">
        <v>9532</v>
      </c>
      <c r="S184">
        <v>15065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"/>
  <sheetViews>
    <sheetView showGridLines="0" zoomScaleNormal="100" workbookViewId="0">
      <pane xSplit="6" ySplit="3" topLeftCell="G172" activePane="bottomRight" state="frozen"/>
      <selection pane="topRight" activeCell="G1" sqref="G1"/>
      <selection pane="bottomLeft" activeCell="A4" sqref="A4"/>
      <selection pane="bottomRight" activeCell="F178" sqref="F178"/>
    </sheetView>
  </sheetViews>
  <sheetFormatPr defaultColWidth="11.81640625" defaultRowHeight="14.5"/>
  <cols>
    <col min="1" max="3" width="1.36328125" customWidth="1"/>
    <col min="4" max="4" width="46.54296875" customWidth="1"/>
    <col min="5" max="6" width="12.81640625" customWidth="1"/>
    <col min="7" max="7" width="2.81640625" customWidth="1"/>
    <col min="8" max="10" width="11.81640625" customWidth="1"/>
    <col min="13" max="13" width="11.7265625" customWidth="1"/>
  </cols>
  <sheetData>
    <row r="1" spans="1:18" ht="46">
      <c r="A1" s="17" t="str">
        <f>'HISTORICAL INFORMATION'!A1</f>
        <v>ACUTAAS CHEMICALS LIMITED</v>
      </c>
      <c r="B1" s="1"/>
      <c r="C1" s="1"/>
      <c r="D1" s="1"/>
      <c r="E1" s="1"/>
      <c r="F1" s="1"/>
      <c r="G1" s="1"/>
      <c r="H1" s="1"/>
      <c r="I1" s="1"/>
      <c r="J1" s="18" t="s">
        <v>153</v>
      </c>
      <c r="K1" s="19"/>
      <c r="L1" s="20"/>
      <c r="M1" s="22" t="s">
        <v>154</v>
      </c>
      <c r="N1" s="20"/>
      <c r="O1" s="20"/>
      <c r="P1" s="20"/>
      <c r="Q1" s="20"/>
      <c r="R1" s="20"/>
    </row>
    <row r="2" spans="1:18" ht="18.5">
      <c r="A2" s="3" t="s">
        <v>152</v>
      </c>
      <c r="B2" s="2"/>
      <c r="C2" s="2"/>
      <c r="D2" s="2"/>
      <c r="E2" s="2"/>
      <c r="F2" s="2"/>
      <c r="G2" s="2"/>
      <c r="H2" s="14">
        <f>'HISTORICAL INFORMATION'!H4</f>
        <v>2021</v>
      </c>
      <c r="I2" s="14">
        <f>'HISTORICAL INFORMATION'!I4</f>
        <v>2022</v>
      </c>
      <c r="J2" s="14">
        <f>'HISTORICAL INFORMATION'!J4</f>
        <v>2023</v>
      </c>
      <c r="K2" s="14">
        <f>'HISTORICAL INFORMATION'!K4</f>
        <v>2024</v>
      </c>
      <c r="L2" s="14">
        <f>'HISTORICAL INFORMATION'!L4</f>
        <v>2025</v>
      </c>
      <c r="M2" s="21">
        <f>'HISTORICAL INFORMATION'!M4</f>
        <v>2026</v>
      </c>
      <c r="N2" s="16">
        <f>'HISTORICAL INFORMATION'!N4</f>
        <v>2027</v>
      </c>
      <c r="O2" s="16">
        <f>'HISTORICAL INFORMATION'!O4</f>
        <v>2028</v>
      </c>
      <c r="P2" s="16">
        <f>'HISTORICAL INFORMATION'!P4</f>
        <v>2029</v>
      </c>
      <c r="Q2" s="16">
        <f>'HISTORICAL INFORMATION'!Q4</f>
        <v>2030</v>
      </c>
      <c r="R2" s="16">
        <f>'HISTORICAL INFORMATION'!R4</f>
        <v>2031</v>
      </c>
    </row>
    <row r="3" spans="1:18">
      <c r="D3" s="5" t="s">
        <v>199</v>
      </c>
      <c r="H3" s="66" t="str">
        <f t="shared" ref="H3:R3" si="0">IF(H74&lt;1,"OK",IF(H74&gt;1,"ERROR"))</f>
        <v>OK</v>
      </c>
      <c r="I3" s="66" t="str">
        <f t="shared" si="0"/>
        <v>OK</v>
      </c>
      <c r="J3" s="66" t="str">
        <f t="shared" si="0"/>
        <v>OK</v>
      </c>
      <c r="K3" s="66" t="str">
        <f t="shared" si="0"/>
        <v>OK</v>
      </c>
      <c r="L3" s="66" t="str">
        <f t="shared" si="0"/>
        <v>OK</v>
      </c>
      <c r="M3" s="66" t="str">
        <f t="shared" si="0"/>
        <v>OK</v>
      </c>
      <c r="N3" s="66" t="str">
        <f t="shared" si="0"/>
        <v>OK</v>
      </c>
      <c r="O3" s="66" t="str">
        <f t="shared" si="0"/>
        <v>OK</v>
      </c>
      <c r="P3" s="66" t="str">
        <f t="shared" si="0"/>
        <v>OK</v>
      </c>
      <c r="Q3" s="66" t="str">
        <f t="shared" si="0"/>
        <v>OK</v>
      </c>
      <c r="R3" s="66" t="str">
        <f t="shared" si="0"/>
        <v>OK</v>
      </c>
    </row>
    <row r="4" spans="1:18">
      <c r="D4" s="5"/>
      <c r="H4" s="58"/>
      <c r="I4" s="58"/>
      <c r="J4" s="58"/>
      <c r="K4" s="58"/>
      <c r="L4" s="58"/>
    </row>
    <row r="5" spans="1:18" ht="21">
      <c r="A5" s="23" t="s">
        <v>233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14.5" customHeight="1"/>
    <row r="7" spans="1:18" s="64" customFormat="1" ht="14.5" customHeight="1">
      <c r="A7" s="63"/>
      <c r="D7" s="12" t="s">
        <v>234</v>
      </c>
      <c r="E7" s="65" t="s">
        <v>253</v>
      </c>
      <c r="F7" s="12" t="s">
        <v>247</v>
      </c>
      <c r="G7" s="73">
        <f>IF(E7=SCENARIOS!D5,1,IF(MODEL!E7=SCENARIOS!D6,2,3))</f>
        <v>1</v>
      </c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</row>
    <row r="8" spans="1:18" s="64" customFormat="1" ht="14.5" customHeight="1">
      <c r="A8" s="63"/>
      <c r="D8" t="s">
        <v>235</v>
      </c>
      <c r="F8" t="s">
        <v>248</v>
      </c>
      <c r="H8" s="67" t="s">
        <v>137</v>
      </c>
      <c r="I8" s="67">
        <f>I25/H25-1</f>
        <v>0.52707849700491383</v>
      </c>
      <c r="J8" s="67">
        <f>J25/I25-1</f>
        <v>0.18572005344766263</v>
      </c>
      <c r="K8" s="67">
        <f>K25/J25-1</f>
        <v>0.16334419430078917</v>
      </c>
      <c r="L8" s="67">
        <f>L25/K25-1</f>
        <v>0.40336067692998157</v>
      </c>
      <c r="M8" s="67">
        <f t="array" ref="M8:Q8">CHOOSE(G7,SCENARIOS!H5:M5,SCENARIOS!H6:M6,SCENARIOS!H7:M7)</f>
        <v>0.3198758554208368</v>
      </c>
      <c r="N8" s="67">
        <v>0.2878882698787531</v>
      </c>
      <c r="O8" s="67">
        <v>0.25909944289087777</v>
      </c>
      <c r="P8" s="67">
        <v>0.23318949860179</v>
      </c>
      <c r="Q8" s="67">
        <v>0.20987054874161101</v>
      </c>
      <c r="R8" s="67">
        <f t="array" ref="R8">CHOOSE(G7,SCENARIOS!M5,SCENARIOS!M6,SCENARIOS!M7)</f>
        <v>0.1888834938674499</v>
      </c>
    </row>
    <row r="9" spans="1:18" s="64" customFormat="1" ht="14.5" customHeight="1">
      <c r="A9" s="63"/>
      <c r="D9" t="s">
        <v>236</v>
      </c>
      <c r="F9" t="s">
        <v>248</v>
      </c>
      <c r="H9" s="67">
        <f>-H26/H25</f>
        <v>0.52754384146697719</v>
      </c>
      <c r="I9" s="67">
        <f>-I26/I25</f>
        <v>0.52454901131437037</v>
      </c>
      <c r="J9" s="67">
        <f>-J26/J25</f>
        <v>0.53652795489793437</v>
      </c>
      <c r="K9" s="67">
        <f>-K26/K25</f>
        <v>0.57380185637259595</v>
      </c>
      <c r="L9" s="67">
        <f>-L26/L25</f>
        <v>0.5484110994854875</v>
      </c>
      <c r="M9" s="67">
        <f>AVERAGE(H9:L9)</f>
        <v>0.54216675270747305</v>
      </c>
      <c r="N9" s="67">
        <f t="shared" ref="N9:R13" si="1">M9</f>
        <v>0.54216675270747305</v>
      </c>
      <c r="O9" s="67">
        <f t="shared" si="1"/>
        <v>0.54216675270747305</v>
      </c>
      <c r="P9" s="67">
        <f t="shared" si="1"/>
        <v>0.54216675270747305</v>
      </c>
      <c r="Q9" s="67">
        <f t="shared" si="1"/>
        <v>0.54216675270747305</v>
      </c>
      <c r="R9" s="67">
        <f t="shared" si="1"/>
        <v>0.54216675270747305</v>
      </c>
    </row>
    <row r="10" spans="1:18" s="64" customFormat="1" ht="14.5" customHeight="1">
      <c r="A10" s="63"/>
      <c r="D10" t="s">
        <v>237</v>
      </c>
      <c r="F10" t="s">
        <v>248</v>
      </c>
      <c r="H10" s="67">
        <f>-H29/H25</f>
        <v>6.167678436113784E-2</v>
      </c>
      <c r="I10" s="67">
        <f>-I29/I25</f>
        <v>7.9530121987560931E-2</v>
      </c>
      <c r="J10" s="67">
        <f>-J29/J25</f>
        <v>7.9184965329489432E-2</v>
      </c>
      <c r="K10" s="67">
        <f>-K29/K25</f>
        <v>8.7967446926685192E-2</v>
      </c>
      <c r="L10" s="67">
        <f>-L29/L25</f>
        <v>8.3084651478757807E-2</v>
      </c>
      <c r="M10" s="67">
        <f t="shared" ref="M10:M19" si="2">AVERAGE(H10:L10)</f>
        <v>7.828879401672624E-2</v>
      </c>
      <c r="N10" s="67">
        <f t="shared" si="1"/>
        <v>7.828879401672624E-2</v>
      </c>
      <c r="O10" s="67">
        <f t="shared" si="1"/>
        <v>7.828879401672624E-2</v>
      </c>
      <c r="P10" s="67">
        <f t="shared" si="1"/>
        <v>7.828879401672624E-2</v>
      </c>
      <c r="Q10" s="67">
        <f t="shared" si="1"/>
        <v>7.828879401672624E-2</v>
      </c>
      <c r="R10" s="67">
        <f t="shared" si="1"/>
        <v>7.828879401672624E-2</v>
      </c>
    </row>
    <row r="11" spans="1:18" s="64" customFormat="1" ht="14.5" customHeight="1">
      <c r="A11" s="63"/>
      <c r="D11" t="s">
        <v>238</v>
      </c>
      <c r="F11" t="s">
        <v>248</v>
      </c>
      <c r="H11" s="67">
        <f>-H30/H25</f>
        <v>0.17545600087373192</v>
      </c>
      <c r="I11" s="67">
        <f>-I30/I25</f>
        <v>0.19371259384582848</v>
      </c>
      <c r="J11" s="67">
        <f>-J30/J25</f>
        <v>0.18548727207574733</v>
      </c>
      <c r="K11" s="67">
        <f>-K30/K25</f>
        <v>0.15914447133661197</v>
      </c>
      <c r="L11" s="67">
        <f>-L30/L25</f>
        <v>0.13801557392150271</v>
      </c>
      <c r="M11" s="67">
        <f t="shared" si="2"/>
        <v>0.17036318241068452</v>
      </c>
      <c r="N11" s="67">
        <f t="shared" si="1"/>
        <v>0.17036318241068452</v>
      </c>
      <c r="O11" s="67">
        <f t="shared" si="1"/>
        <v>0.17036318241068452</v>
      </c>
      <c r="P11" s="67">
        <f t="shared" si="1"/>
        <v>0.17036318241068452</v>
      </c>
      <c r="Q11" s="67">
        <f t="shared" si="1"/>
        <v>0.17036318241068452</v>
      </c>
      <c r="R11" s="67">
        <f t="shared" si="1"/>
        <v>0.17036318241068452</v>
      </c>
    </row>
    <row r="12" spans="1:18" s="64" customFormat="1" ht="14.5" customHeight="1">
      <c r="A12" s="63"/>
      <c r="D12" t="s">
        <v>239</v>
      </c>
      <c r="F12" t="s">
        <v>248</v>
      </c>
      <c r="H12" s="67" t="s">
        <v>137</v>
      </c>
      <c r="I12" s="67">
        <f>-I32/I117</f>
        <v>6.268570582828685E-2</v>
      </c>
      <c r="J12" s="67">
        <f>-J32/J117</f>
        <v>6.5338343396869669E-2</v>
      </c>
      <c r="K12" s="67">
        <f>-K32/K117</f>
        <v>5.9812454619658249E-2</v>
      </c>
      <c r="L12" s="67">
        <f>-L32/L117</f>
        <v>5.3695615122326582E-2</v>
      </c>
      <c r="M12" s="67">
        <f t="shared" si="2"/>
        <v>6.0383029741785346E-2</v>
      </c>
      <c r="N12" s="67">
        <f t="shared" si="1"/>
        <v>6.0383029741785346E-2</v>
      </c>
      <c r="O12" s="67">
        <f t="shared" si="1"/>
        <v>6.0383029741785346E-2</v>
      </c>
      <c r="P12" s="67">
        <f t="shared" si="1"/>
        <v>6.0383029741785346E-2</v>
      </c>
      <c r="Q12" s="67">
        <f t="shared" si="1"/>
        <v>6.0383029741785346E-2</v>
      </c>
      <c r="R12" s="67">
        <f t="shared" si="1"/>
        <v>6.0383029741785346E-2</v>
      </c>
    </row>
    <row r="13" spans="1:18" s="64" customFormat="1" ht="14.5" customHeight="1">
      <c r="A13" s="63"/>
      <c r="D13" t="s">
        <v>240</v>
      </c>
      <c r="F13" t="s">
        <v>248</v>
      </c>
      <c r="H13" s="67" t="s">
        <v>137</v>
      </c>
      <c r="I13" s="67">
        <f>-I34/I123</f>
        <v>4.6893308264238411E-2</v>
      </c>
      <c r="J13" s="67">
        <f>-J34/J123</f>
        <v>2.8578367492003318</v>
      </c>
      <c r="K13" s="67">
        <f>-K34/K123</f>
        <v>1.6499458378468461</v>
      </c>
      <c r="L13" s="67">
        <f>-L34/L123</f>
        <v>2.8702966028546027E-2</v>
      </c>
      <c r="M13" s="67">
        <f>8%</f>
        <v>0.08</v>
      </c>
      <c r="N13" s="67">
        <f t="shared" si="1"/>
        <v>0.08</v>
      </c>
      <c r="O13" s="67">
        <f t="shared" si="1"/>
        <v>0.08</v>
      </c>
      <c r="P13" s="67">
        <f t="shared" si="1"/>
        <v>0.08</v>
      </c>
      <c r="Q13" s="67">
        <f t="shared" si="1"/>
        <v>0.08</v>
      </c>
      <c r="R13" s="67">
        <f t="shared" si="1"/>
        <v>0.08</v>
      </c>
    </row>
    <row r="14" spans="1:18" s="64" customFormat="1" ht="14.5" customHeight="1">
      <c r="A14" s="63"/>
      <c r="D14" s="51" t="s">
        <v>241</v>
      </c>
      <c r="F14" t="s">
        <v>248</v>
      </c>
      <c r="H14" s="67">
        <f>H35/H25</f>
        <v>4.0506987653545325E-3</v>
      </c>
      <c r="I14" s="67">
        <f>I35/I25</f>
        <v>5.3107366356811214E-3</v>
      </c>
      <c r="J14" s="67">
        <f>J35/J25</f>
        <v>7.0043106069143215E-3</v>
      </c>
      <c r="K14" s="67">
        <f>K35/K25</f>
        <v>-3.4277176401391267E-2</v>
      </c>
      <c r="L14" s="67">
        <f>L35/L25</f>
        <v>1.681379674051062E-2</v>
      </c>
      <c r="M14" s="67">
        <f>1%</f>
        <v>0.01</v>
      </c>
      <c r="N14" s="67">
        <f>1%</f>
        <v>0.01</v>
      </c>
      <c r="O14" s="67">
        <f>1%</f>
        <v>0.01</v>
      </c>
      <c r="P14" s="67">
        <f>1%</f>
        <v>0.01</v>
      </c>
      <c r="Q14" s="67">
        <f>1%</f>
        <v>0.01</v>
      </c>
      <c r="R14" s="67">
        <f>1%</f>
        <v>0.01</v>
      </c>
    </row>
    <row r="15" spans="1:18" s="64" customFormat="1" ht="14.5" customHeight="1">
      <c r="A15" s="63"/>
      <c r="D15" t="s">
        <v>242</v>
      </c>
      <c r="F15" t="s">
        <v>248</v>
      </c>
      <c r="H15" s="67">
        <f>-H37/H36</f>
        <v>0.24715236552333739</v>
      </c>
      <c r="I15" s="67">
        <f>-I37/I36</f>
        <v>0.21327736127999444</v>
      </c>
      <c r="J15" s="67">
        <f>-J37/J36</f>
        <v>0.2574809354935913</v>
      </c>
      <c r="K15" s="67">
        <f>-K37/K36</f>
        <v>0.40528416520861127</v>
      </c>
      <c r="L15" s="67">
        <f>-L37/L36</f>
        <v>0.25788548456488847</v>
      </c>
      <c r="M15" s="67">
        <f t="shared" si="2"/>
        <v>0.27621606241408453</v>
      </c>
      <c r="N15" s="67">
        <f t="shared" ref="N15:R19" si="3">M15</f>
        <v>0.27621606241408453</v>
      </c>
      <c r="O15" s="67">
        <f t="shared" si="3"/>
        <v>0.27621606241408453</v>
      </c>
      <c r="P15" s="67">
        <f t="shared" si="3"/>
        <v>0.27621606241408453</v>
      </c>
      <c r="Q15" s="67">
        <f t="shared" si="3"/>
        <v>0.27621606241408453</v>
      </c>
      <c r="R15" s="67">
        <f t="shared" si="3"/>
        <v>0.27621606241408453</v>
      </c>
    </row>
    <row r="16" spans="1:18" s="64" customFormat="1" ht="14.5" customHeight="1">
      <c r="A16" s="63"/>
      <c r="D16" t="s">
        <v>243</v>
      </c>
      <c r="F16" t="s">
        <v>248</v>
      </c>
      <c r="H16" s="67" t="s">
        <v>137</v>
      </c>
      <c r="I16" s="67" t="s">
        <v>137</v>
      </c>
      <c r="J16" s="67">
        <f>-J99/J38</f>
        <v>0.13129714718626687</v>
      </c>
      <c r="K16" s="67">
        <f>-K99/K38</f>
        <v>0.22442103966494245</v>
      </c>
      <c r="L16" s="67">
        <f>-L99/L38</f>
        <v>7.653955891401007E-2</v>
      </c>
      <c r="M16" s="67">
        <f t="shared" si="2"/>
        <v>0.14408591525507311</v>
      </c>
      <c r="N16" s="67">
        <f t="shared" si="3"/>
        <v>0.14408591525507311</v>
      </c>
      <c r="O16" s="67">
        <f t="shared" si="3"/>
        <v>0.14408591525507311</v>
      </c>
      <c r="P16" s="67">
        <f t="shared" si="3"/>
        <v>0.14408591525507311</v>
      </c>
      <c r="Q16" s="67">
        <f t="shared" si="3"/>
        <v>0.14408591525507311</v>
      </c>
      <c r="R16" s="67">
        <f t="shared" si="3"/>
        <v>0.14408591525507311</v>
      </c>
    </row>
    <row r="17" spans="1:18" s="64" customFormat="1" ht="14.5" customHeight="1">
      <c r="A17" s="63"/>
      <c r="D17" t="s">
        <v>244</v>
      </c>
      <c r="F17" t="s">
        <v>249</v>
      </c>
      <c r="H17" s="68">
        <f>H47/H25*365</f>
        <v>129.33398931733527</v>
      </c>
      <c r="I17" s="68">
        <f>I47/I25*365</f>
        <v>114.87652820902265</v>
      </c>
      <c r="J17" s="68">
        <f>J47/J25*365</f>
        <v>136.27468789243994</v>
      </c>
      <c r="K17" s="68">
        <f>K47/K25*365</f>
        <v>104.97727305987878</v>
      </c>
      <c r="L17" s="68">
        <f>L47/L25*365</f>
        <v>105.30653044989177</v>
      </c>
      <c r="M17" s="68">
        <f t="shared" si="2"/>
        <v>118.15380178571368</v>
      </c>
      <c r="N17" s="68">
        <f t="shared" si="3"/>
        <v>118.15380178571368</v>
      </c>
      <c r="O17" s="68">
        <f t="shared" si="3"/>
        <v>118.15380178571368</v>
      </c>
      <c r="P17" s="68">
        <f t="shared" si="3"/>
        <v>118.15380178571368</v>
      </c>
      <c r="Q17" s="68">
        <f t="shared" si="3"/>
        <v>118.15380178571368</v>
      </c>
      <c r="R17" s="68">
        <f t="shared" si="3"/>
        <v>118.15380178571368</v>
      </c>
    </row>
    <row r="18" spans="1:18" s="64" customFormat="1" ht="14.5" customHeight="1">
      <c r="A18" s="63"/>
      <c r="D18" t="s">
        <v>179</v>
      </c>
      <c r="F18" t="s">
        <v>249</v>
      </c>
      <c r="H18" s="68">
        <f>-H48/H26*365</f>
        <v>122.61712402106791</v>
      </c>
      <c r="I18" s="68">
        <f>-I48/I26*365</f>
        <v>150.06206468860631</v>
      </c>
      <c r="J18" s="68">
        <f>-J48/J26*365</f>
        <v>131.45591672048528</v>
      </c>
      <c r="K18" s="68">
        <f>-K48/K26*365</f>
        <v>138.95940301422289</v>
      </c>
      <c r="L18" s="68">
        <f>-L48/L26*365</f>
        <v>118.94304537799786</v>
      </c>
      <c r="M18" s="68">
        <f t="shared" si="2"/>
        <v>132.40751076447606</v>
      </c>
      <c r="N18" s="68">
        <f t="shared" si="3"/>
        <v>132.40751076447606</v>
      </c>
      <c r="O18" s="68">
        <f t="shared" si="3"/>
        <v>132.40751076447606</v>
      </c>
      <c r="P18" s="68">
        <f t="shared" si="3"/>
        <v>132.40751076447606</v>
      </c>
      <c r="Q18" s="68">
        <f t="shared" si="3"/>
        <v>132.40751076447606</v>
      </c>
      <c r="R18" s="68">
        <f t="shared" si="3"/>
        <v>132.40751076447606</v>
      </c>
    </row>
    <row r="19" spans="1:18" s="64" customFormat="1" ht="14.5" customHeight="1">
      <c r="A19" s="63"/>
      <c r="D19" t="s">
        <v>245</v>
      </c>
      <c r="F19" t="s">
        <v>249</v>
      </c>
      <c r="H19" s="68">
        <f>-H61/H26*365</f>
        <v>172.20564697449322</v>
      </c>
      <c r="I19" s="68">
        <f>-I61/I26*365</f>
        <v>158.41889074144456</v>
      </c>
      <c r="J19" s="68">
        <f>-J61/J26*365</f>
        <v>156.68826514006088</v>
      </c>
      <c r="K19" s="68">
        <f>-K61/K26*365</f>
        <v>119.34326026347122</v>
      </c>
      <c r="L19" s="68">
        <f>-L61/L26*365</f>
        <v>103.14843918224743</v>
      </c>
      <c r="M19" s="68">
        <f t="shared" si="2"/>
        <v>141.96090046034345</v>
      </c>
      <c r="N19" s="68">
        <f t="shared" si="3"/>
        <v>141.96090046034345</v>
      </c>
      <c r="O19" s="68">
        <f t="shared" si="3"/>
        <v>141.96090046034345</v>
      </c>
      <c r="P19" s="68">
        <f t="shared" si="3"/>
        <v>141.96090046034345</v>
      </c>
      <c r="Q19" s="68">
        <f t="shared" si="3"/>
        <v>141.96090046034345</v>
      </c>
      <c r="R19" s="68">
        <f t="shared" si="3"/>
        <v>141.96090046034345</v>
      </c>
    </row>
    <row r="20" spans="1:18" s="64" customFormat="1" ht="14.5" customHeight="1">
      <c r="A20" s="63"/>
      <c r="D20" t="s">
        <v>246</v>
      </c>
      <c r="F20" t="s">
        <v>250</v>
      </c>
      <c r="H20" s="69">
        <f>H25/H52</f>
        <v>2.1181372018601365</v>
      </c>
      <c r="I20" s="69">
        <f>I25/I52</f>
        <v>2.7534968274185574</v>
      </c>
      <c r="J20" s="69">
        <f>J25/J52</f>
        <v>2.2975985533426941</v>
      </c>
      <c r="K20" s="69">
        <f>K25/K52</f>
        <v>1.4471528398988671</v>
      </c>
      <c r="L20" s="69">
        <f>L25/L52</f>
        <v>1.5637816013799011</v>
      </c>
      <c r="M20" s="69">
        <f>L20+0.3</f>
        <v>1.8637816013799011</v>
      </c>
      <c r="N20" s="69">
        <f t="shared" ref="N20:R20" si="4">M20+0.3</f>
        <v>2.1637816013799012</v>
      </c>
      <c r="O20" s="69">
        <f t="shared" si="4"/>
        <v>2.463781601379901</v>
      </c>
      <c r="P20" s="69">
        <f t="shared" si="4"/>
        <v>2.7637816013799008</v>
      </c>
      <c r="Q20" s="69">
        <f t="shared" si="4"/>
        <v>3.0637816013799006</v>
      </c>
      <c r="R20" s="69">
        <f t="shared" si="4"/>
        <v>3.3637816013799005</v>
      </c>
    </row>
    <row r="21" spans="1:18" s="64" customFormat="1" ht="14.5" customHeight="1">
      <c r="A21" s="63"/>
    </row>
    <row r="22" spans="1:18" ht="21">
      <c r="A22" s="23" t="s">
        <v>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s="64" customFormat="1" ht="21">
      <c r="A23" s="63"/>
    </row>
    <row r="24" spans="1:18" ht="18.5">
      <c r="A24" s="25"/>
      <c r="B24" s="26" t="s">
        <v>155</v>
      </c>
    </row>
    <row r="25" spans="1:18" ht="14.5" customHeight="1">
      <c r="D25" t="s">
        <v>164</v>
      </c>
      <c r="F25" s="27" t="s">
        <v>156</v>
      </c>
      <c r="H25" s="29">
        <f>'HISTORICAL INFORMATION'!H6</f>
        <v>34060.79</v>
      </c>
      <c r="I25" s="29">
        <f>'HISTORICAL INFORMATION'!I6</f>
        <v>52013.5</v>
      </c>
      <c r="J25" s="29">
        <f>'HISTORICAL INFORMATION'!J6</f>
        <v>61673.45</v>
      </c>
      <c r="K25" s="29">
        <f>'HISTORICAL INFORMATION'!K6</f>
        <v>71747.45</v>
      </c>
      <c r="L25" s="29">
        <f>'HISTORICAL INFORMATION'!L6</f>
        <v>100687.55</v>
      </c>
      <c r="M25" s="28">
        <f t="shared" ref="M25:R25" si="5">L25*(1+M8)</f>
        <v>132895.06618647827</v>
      </c>
      <c r="N25" s="28">
        <f t="shared" si="5"/>
        <v>171153.99686632588</v>
      </c>
      <c r="O25" s="28">
        <f t="shared" si="5"/>
        <v>215499.90210293795</v>
      </c>
      <c r="P25" s="28">
        <f t="shared" si="5"/>
        <v>265752.21622305689</v>
      </c>
      <c r="Q25" s="28">
        <f t="shared" si="5"/>
        <v>321525.77967108908</v>
      </c>
      <c r="R25" s="28">
        <f t="shared" si="5"/>
        <v>382256.69230382028</v>
      </c>
    </row>
    <row r="26" spans="1:18">
      <c r="D26" t="s">
        <v>163</v>
      </c>
      <c r="F26" s="27" t="s">
        <v>156</v>
      </c>
      <c r="H26" s="29">
        <f>-SUM('HISTORICAL INFORMATION'!H10:H11)</f>
        <v>-17968.560000000001</v>
      </c>
      <c r="I26" s="29">
        <f>-SUM('HISTORICAL INFORMATION'!I10:I11)</f>
        <v>-27283.63</v>
      </c>
      <c r="J26" s="29">
        <f>-SUM('HISTORICAL INFORMATION'!J10:J11)</f>
        <v>-33089.530000000006</v>
      </c>
      <c r="K26" s="29">
        <f>-SUM('HISTORICAL INFORMATION'!K10:K11)</f>
        <v>-41168.820000000007</v>
      </c>
      <c r="L26" s="29">
        <f>-SUM('HISTORICAL INFORMATION'!L10:L11)</f>
        <v>-55218.17</v>
      </c>
      <c r="M26" s="28">
        <f t="shared" ref="M26:R26" si="6">-M25*M9</f>
        <v>-72051.286485167628</v>
      </c>
      <c r="N26" s="28">
        <f t="shared" si="6"/>
        <v>-92794.006693920921</v>
      </c>
      <c r="O26" s="28">
        <f t="shared" si="6"/>
        <v>-116836.88213192821</v>
      </c>
      <c r="P26" s="28">
        <f t="shared" si="6"/>
        <v>-144082.016094469</v>
      </c>
      <c r="Q26" s="28">
        <f t="shared" si="6"/>
        <v>-174320.58787601281</v>
      </c>
      <c r="R26" s="28">
        <f t="shared" si="6"/>
        <v>-207246.86956706195</v>
      </c>
    </row>
    <row r="27" spans="1:18">
      <c r="D27" s="30" t="s">
        <v>157</v>
      </c>
      <c r="E27" s="31"/>
      <c r="F27" s="32" t="s">
        <v>156</v>
      </c>
      <c r="G27" s="31"/>
      <c r="H27" s="39">
        <f t="shared" ref="H27:R27" si="7">SUM(H25:H26)</f>
        <v>16092.23</v>
      </c>
      <c r="I27" s="39">
        <f t="shared" si="7"/>
        <v>24729.87</v>
      </c>
      <c r="J27" s="39">
        <f t="shared" si="7"/>
        <v>28583.919999999991</v>
      </c>
      <c r="K27" s="39">
        <f t="shared" si="7"/>
        <v>30578.62999999999</v>
      </c>
      <c r="L27" s="39">
        <f t="shared" si="7"/>
        <v>45469.380000000005</v>
      </c>
      <c r="M27" s="39">
        <f t="shared" si="7"/>
        <v>60843.779701310646</v>
      </c>
      <c r="N27" s="39">
        <f t="shared" si="7"/>
        <v>78359.990172404956</v>
      </c>
      <c r="O27" s="39">
        <f t="shared" si="7"/>
        <v>98663.019971009737</v>
      </c>
      <c r="P27" s="39">
        <f t="shared" si="7"/>
        <v>121670.20012858789</v>
      </c>
      <c r="Q27" s="39">
        <f t="shared" si="7"/>
        <v>147205.19179507627</v>
      </c>
      <c r="R27" s="39">
        <f t="shared" si="7"/>
        <v>175009.82273675833</v>
      </c>
    </row>
    <row r="28" spans="1:18" ht="18.5">
      <c r="B28" s="26" t="s">
        <v>262</v>
      </c>
      <c r="D28" s="76"/>
      <c r="E28" s="51"/>
      <c r="F28" s="53"/>
      <c r="G28" s="51"/>
      <c r="H28" s="77"/>
      <c r="I28" s="77"/>
      <c r="J28" s="77"/>
      <c r="K28" s="77"/>
      <c r="L28" s="77"/>
      <c r="M28" s="77"/>
      <c r="N28" s="77"/>
      <c r="O28" s="77"/>
      <c r="P28" s="77"/>
      <c r="Q28" s="77"/>
    </row>
    <row r="29" spans="1:18">
      <c r="D29" t="s">
        <v>162</v>
      </c>
      <c r="F29" s="27" t="s">
        <v>156</v>
      </c>
      <c r="H29" s="29">
        <f>-SUM('HISTORICAL INFORMATION'!H12)</f>
        <v>-2100.7600000000002</v>
      </c>
      <c r="I29" s="29">
        <f>-SUM('HISTORICAL INFORMATION'!I12)</f>
        <v>-4136.6400000000003</v>
      </c>
      <c r="J29" s="29">
        <f>-'HISTORICAL INFORMATION'!H12:L12</f>
        <v>-4883.6099999999997</v>
      </c>
      <c r="K29" s="29">
        <f>-'HISTORICAL INFORMATION'!K12:M12</f>
        <v>-6311.44</v>
      </c>
      <c r="L29" s="29">
        <f>-'HISTORICAL INFORMATION'!L12:N12</f>
        <v>-8365.59</v>
      </c>
      <c r="M29" s="28">
        <f t="shared" ref="M29:R29" si="8">-M25*M10</f>
        <v>-10404.194462512398</v>
      </c>
      <c r="N29" s="28">
        <f t="shared" si="8"/>
        <v>-13399.440005807195</v>
      </c>
      <c r="O29" s="28">
        <f t="shared" si="8"/>
        <v>-16871.227446361579</v>
      </c>
      <c r="P29" s="28">
        <f t="shared" si="8"/>
        <v>-20805.420515375394</v>
      </c>
      <c r="Q29" s="28">
        <f t="shared" si="8"/>
        <v>-25171.865535737197</v>
      </c>
      <c r="R29" s="28">
        <f t="shared" si="8"/>
        <v>-29926.415445288887</v>
      </c>
    </row>
    <row r="30" spans="1:18">
      <c r="D30" t="s">
        <v>161</v>
      </c>
      <c r="F30" s="27" t="s">
        <v>156</v>
      </c>
      <c r="H30" s="29">
        <f>-'HISTORICAL INFORMATION'!H15</f>
        <v>-5976.17</v>
      </c>
      <c r="I30" s="29">
        <f>-'HISTORICAL INFORMATION'!I15</f>
        <v>-10075.67</v>
      </c>
      <c r="J30" s="29">
        <f>-'HISTORICAL INFORMATION'!J15:L15</f>
        <v>-11439.64</v>
      </c>
      <c r="K30" s="29">
        <f>-'HISTORICAL INFORMATION'!K15:M15</f>
        <v>-11418.21</v>
      </c>
      <c r="L30" s="29">
        <f>-'HISTORICAL INFORMATION'!L15:N15</f>
        <v>-13896.45</v>
      </c>
      <c r="M30" s="28">
        <f t="shared" ref="M30:R30" si="9">-M25*M11</f>
        <v>-22640.426402206991</v>
      </c>
      <c r="N30" s="28">
        <f t="shared" si="9"/>
        <v>-29158.339588455601</v>
      </c>
      <c r="O30" s="28">
        <f t="shared" si="9"/>
        <v>-36713.249131447476</v>
      </c>
      <c r="P30" s="28">
        <f t="shared" si="9"/>
        <v>-45274.393288452316</v>
      </c>
      <c r="Q30" s="28">
        <f t="shared" si="9"/>
        <v>-54776.155051843307</v>
      </c>
      <c r="R30" s="28">
        <f t="shared" si="9"/>
        <v>-65122.466598660641</v>
      </c>
    </row>
    <row r="31" spans="1:18">
      <c r="D31" s="30" t="s">
        <v>158</v>
      </c>
      <c r="E31" s="31"/>
      <c r="F31" s="32" t="s">
        <v>156</v>
      </c>
      <c r="G31" s="31"/>
      <c r="H31" s="39">
        <f t="shared" ref="H31:Q31" si="10">SUM(H27:H30)</f>
        <v>8015.2999999999993</v>
      </c>
      <c r="I31" s="39">
        <f t="shared" si="10"/>
        <v>10517.56</v>
      </c>
      <c r="J31" s="39">
        <f t="shared" si="10"/>
        <v>12260.669999999991</v>
      </c>
      <c r="K31" s="39">
        <f t="shared" si="10"/>
        <v>12848.979999999992</v>
      </c>
      <c r="L31" s="39">
        <f t="shared" si="10"/>
        <v>23207.340000000007</v>
      </c>
      <c r="M31" s="39">
        <f t="shared" si="10"/>
        <v>27799.158836591254</v>
      </c>
      <c r="N31" s="39">
        <f t="shared" si="10"/>
        <v>35802.210578142163</v>
      </c>
      <c r="O31" s="39">
        <f t="shared" si="10"/>
        <v>45078.543393200685</v>
      </c>
      <c r="P31" s="39">
        <f t="shared" si="10"/>
        <v>55590.386324760191</v>
      </c>
      <c r="Q31" s="39">
        <f t="shared" si="10"/>
        <v>67257.171207495776</v>
      </c>
      <c r="R31" s="39">
        <f t="shared" ref="R31" si="11">SUM(R27:R30)</f>
        <v>79960.940692808814</v>
      </c>
    </row>
    <row r="32" spans="1:18">
      <c r="D32" t="s">
        <v>10</v>
      </c>
      <c r="F32" s="27" t="s">
        <v>156</v>
      </c>
      <c r="H32" s="29">
        <f>-SUM('HISTORICAL INFORMATION'!H14)</f>
        <v>-418.81</v>
      </c>
      <c r="I32" s="29">
        <f>-SUM('HISTORICAL INFORMATION'!I14)</f>
        <v>-1008.02</v>
      </c>
      <c r="J32" s="29">
        <f>-'HISTORICAL INFORMATION'!J14:L14</f>
        <v>-1234.24</v>
      </c>
      <c r="K32" s="29">
        <f>-'HISTORICAL INFORMATION'!K14:M14</f>
        <v>-1605.52</v>
      </c>
      <c r="L32" s="29">
        <f>-'HISTORICAL INFORMATION'!L14:N14</f>
        <v>-2662.14</v>
      </c>
      <c r="M32" s="28">
        <f t="shared" ref="M32:R32" si="12">M119</f>
        <v>-3887.8954202508762</v>
      </c>
      <c r="N32" s="28">
        <f t="shared" si="12"/>
        <v>-4696.5956585404601</v>
      </c>
      <c r="O32" s="28">
        <f t="shared" si="12"/>
        <v>-5480.6642573812496</v>
      </c>
      <c r="P32" s="28">
        <f t="shared" si="12"/>
        <v>-6236.5666540663569</v>
      </c>
      <c r="Q32" s="28">
        <f t="shared" si="12"/>
        <v>-6957.8951379743339</v>
      </c>
      <c r="R32" s="28">
        <f t="shared" si="12"/>
        <v>-7636.9785450988456</v>
      </c>
    </row>
    <row r="33" spans="1:18">
      <c r="D33" s="30" t="s">
        <v>159</v>
      </c>
      <c r="E33" s="31"/>
      <c r="F33" s="32" t="s">
        <v>156</v>
      </c>
      <c r="G33" s="31"/>
      <c r="H33" s="39">
        <f t="shared" ref="H33:Q33" si="13">SUM(H31:H32)</f>
        <v>7596.4899999999989</v>
      </c>
      <c r="I33" s="39">
        <f t="shared" si="13"/>
        <v>9509.5399999999991</v>
      </c>
      <c r="J33" s="39">
        <f t="shared" si="13"/>
        <v>11026.429999999991</v>
      </c>
      <c r="K33" s="39">
        <f t="shared" si="13"/>
        <v>11243.459999999992</v>
      </c>
      <c r="L33" s="39">
        <f t="shared" si="13"/>
        <v>20545.200000000008</v>
      </c>
      <c r="M33" s="39">
        <f t="shared" si="13"/>
        <v>23911.263416340378</v>
      </c>
      <c r="N33" s="39">
        <f t="shared" si="13"/>
        <v>31105.614919601703</v>
      </c>
      <c r="O33" s="39">
        <f t="shared" si="13"/>
        <v>39597.879135819436</v>
      </c>
      <c r="P33" s="39">
        <f t="shared" si="13"/>
        <v>49353.819670693832</v>
      </c>
      <c r="Q33" s="39">
        <f t="shared" si="13"/>
        <v>60299.276069521438</v>
      </c>
      <c r="R33" s="39">
        <f t="shared" ref="R33" si="14">SUM(R31:R32)</f>
        <v>72323.962147709972</v>
      </c>
    </row>
    <row r="34" spans="1:18">
      <c r="D34" t="s">
        <v>160</v>
      </c>
      <c r="F34" s="27" t="s">
        <v>156</v>
      </c>
      <c r="H34" s="29">
        <f>-SUM('HISTORICAL INFORMATION'!H13)</f>
        <v>-561.84</v>
      </c>
      <c r="I34" s="29">
        <f>-SUM('HISTORICAL INFORMATION'!I13)</f>
        <v>-640.73</v>
      </c>
      <c r="J34" s="29">
        <f>-'HISTORICAL INFORMATION'!J13:L13</f>
        <v>-241.23</v>
      </c>
      <c r="K34" s="29">
        <f>-'HISTORICAL INFORMATION'!K13:M13</f>
        <v>-594.03</v>
      </c>
      <c r="L34" s="29">
        <f>-'HISTORICAL INFORMATION'!L13:N13</f>
        <v>-621.84</v>
      </c>
      <c r="M34" s="28">
        <f t="shared" ref="M34:R34" si="15">M126</f>
        <v>-103.50959999999999</v>
      </c>
      <c r="N34" s="28">
        <f t="shared" si="15"/>
        <v>-103.50959999999999</v>
      </c>
      <c r="O34" s="28">
        <f t="shared" si="15"/>
        <v>-103.50959999999999</v>
      </c>
      <c r="P34" s="28">
        <f t="shared" si="15"/>
        <v>-103.50959999999999</v>
      </c>
      <c r="Q34" s="28">
        <f t="shared" si="15"/>
        <v>-103.50959999999999</v>
      </c>
      <c r="R34" s="28">
        <f t="shared" si="15"/>
        <v>-103.50959999999999</v>
      </c>
    </row>
    <row r="35" spans="1:18">
      <c r="D35" s="36" t="s">
        <v>165</v>
      </c>
      <c r="E35" s="7"/>
      <c r="F35" s="33" t="s">
        <v>156</v>
      </c>
      <c r="G35" s="7"/>
      <c r="H35" s="34">
        <f>'HISTORICAL INFORMATION'!H7+'HISTORICAL INFORMATION'!H18</f>
        <v>137.97</v>
      </c>
      <c r="I35" s="34">
        <f>'HISTORICAL INFORMATION'!I7+'HISTORICAL INFORMATION'!I18</f>
        <v>276.23</v>
      </c>
      <c r="J35" s="34">
        <f>'HISTORICAL INFORMATION'!J7+'HISTORICAL INFORMATION'!J18</f>
        <v>431.98</v>
      </c>
      <c r="K35" s="34">
        <f>'HISTORICAL INFORMATION'!K7+'HISTORICAL INFORMATION'!K18</f>
        <v>-2459.2999999999997</v>
      </c>
      <c r="L35" s="34">
        <f>'HISTORICAL INFORMATION'!L7+'HISTORICAL INFORMATION'!L18</f>
        <v>1692.94</v>
      </c>
      <c r="M35" s="35">
        <f t="shared" ref="M35:R35" si="16">M25*M14</f>
        <v>1328.9506618647827</v>
      </c>
      <c r="N35" s="35">
        <f t="shared" si="16"/>
        <v>1711.5399686632588</v>
      </c>
      <c r="O35" s="35">
        <f t="shared" si="16"/>
        <v>2154.9990210293795</v>
      </c>
      <c r="P35" s="35">
        <f t="shared" si="16"/>
        <v>2657.5221622305689</v>
      </c>
      <c r="Q35" s="35">
        <f t="shared" si="16"/>
        <v>3215.2577967108909</v>
      </c>
      <c r="R35" s="35">
        <f t="shared" si="16"/>
        <v>3822.5669230382027</v>
      </c>
    </row>
    <row r="36" spans="1:18">
      <c r="D36" s="5" t="s">
        <v>166</v>
      </c>
      <c r="F36" s="27" t="s">
        <v>156</v>
      </c>
      <c r="H36" s="41">
        <f t="shared" ref="H36:Q36" si="17">SUM(H33:H35)</f>
        <v>7172.619999999999</v>
      </c>
      <c r="I36" s="41">
        <f t="shared" si="17"/>
        <v>9145.0399999999991</v>
      </c>
      <c r="J36" s="40">
        <f t="shared" si="17"/>
        <v>11217.179999999991</v>
      </c>
      <c r="K36" s="40">
        <f t="shared" si="17"/>
        <v>8190.1299999999919</v>
      </c>
      <c r="L36" s="40">
        <f t="shared" si="17"/>
        <v>21616.300000000007</v>
      </c>
      <c r="M36" s="41">
        <f t="shared" si="17"/>
        <v>25136.70447820516</v>
      </c>
      <c r="N36" s="41">
        <f t="shared" si="17"/>
        <v>32713.645288264961</v>
      </c>
      <c r="O36" s="41">
        <f t="shared" si="17"/>
        <v>41649.368556848814</v>
      </c>
      <c r="P36" s="41">
        <f t="shared" si="17"/>
        <v>51907.832232924404</v>
      </c>
      <c r="Q36" s="41">
        <f t="shared" si="17"/>
        <v>63411.024266232329</v>
      </c>
      <c r="R36" s="41">
        <f t="shared" ref="R36" si="18">SUM(R33:R35)</f>
        <v>76043.019470748171</v>
      </c>
    </row>
    <row r="37" spans="1:18">
      <c r="D37" s="37" t="s">
        <v>167</v>
      </c>
      <c r="F37" s="27" t="s">
        <v>156</v>
      </c>
      <c r="H37" s="29">
        <f>-'HISTORICAL INFORMATION'!H23</f>
        <v>-1772.73</v>
      </c>
      <c r="I37" s="29">
        <f>-'HISTORICAL INFORMATION'!I23</f>
        <v>-1950.43</v>
      </c>
      <c r="J37" s="38">
        <f>-'HISTORICAL INFORMATION'!J23:L23</f>
        <v>-2888.21</v>
      </c>
      <c r="K37" s="38">
        <f>-'HISTORICAL INFORMATION'!K23:M23</f>
        <v>-3319.33</v>
      </c>
      <c r="L37" s="38">
        <f>-'HISTORICAL INFORMATION'!L23:N23</f>
        <v>-5574.53</v>
      </c>
      <c r="M37" s="28">
        <f t="shared" ref="M37:R37" si="19">-M36*M15</f>
        <v>-6943.1615330363147</v>
      </c>
      <c r="N37" s="28">
        <f t="shared" si="19"/>
        <v>-9036.0342887356164</v>
      </c>
      <c r="O37" s="28">
        <f t="shared" si="19"/>
        <v>-11504.224584805761</v>
      </c>
      <c r="P37" s="28">
        <f t="shared" si="19"/>
        <v>-14337.777027829276</v>
      </c>
      <c r="Q37" s="28">
        <f t="shared" si="19"/>
        <v>-17515.143436462658</v>
      </c>
      <c r="R37" s="28">
        <f t="shared" si="19"/>
        <v>-21004.303412287623</v>
      </c>
    </row>
    <row r="38" spans="1:18" ht="15" thickBot="1">
      <c r="D38" s="42" t="s">
        <v>168</v>
      </c>
      <c r="E38" s="43"/>
      <c r="F38" s="44" t="s">
        <v>156</v>
      </c>
      <c r="G38" s="43"/>
      <c r="H38" s="45">
        <f t="shared" ref="H38:Q38" si="20">SUM(H36:H37)</f>
        <v>5399.8899999999994</v>
      </c>
      <c r="I38" s="45">
        <f t="shared" si="20"/>
        <v>7194.6099999999988</v>
      </c>
      <c r="J38" s="45">
        <f t="shared" si="20"/>
        <v>8328.9699999999903</v>
      </c>
      <c r="K38" s="45">
        <f t="shared" si="20"/>
        <v>4870.799999999992</v>
      </c>
      <c r="L38" s="45">
        <f t="shared" si="20"/>
        <v>16041.770000000008</v>
      </c>
      <c r="M38" s="45">
        <f t="shared" si="20"/>
        <v>18193.542945168847</v>
      </c>
      <c r="N38" s="45">
        <f t="shared" si="20"/>
        <v>23677.610999529345</v>
      </c>
      <c r="O38" s="45">
        <f t="shared" si="20"/>
        <v>30145.143972043054</v>
      </c>
      <c r="P38" s="45">
        <f t="shared" si="20"/>
        <v>37570.05520509513</v>
      </c>
      <c r="Q38" s="45">
        <f t="shared" si="20"/>
        <v>45895.880829769667</v>
      </c>
      <c r="R38" s="45">
        <f t="shared" ref="R38" si="21">SUM(R36:R37)</f>
        <v>55038.716058460544</v>
      </c>
    </row>
    <row r="39" spans="1:18">
      <c r="D39" s="5"/>
      <c r="H39" s="28"/>
      <c r="I39" s="28"/>
      <c r="J39" s="29"/>
      <c r="K39" s="29"/>
      <c r="L39" s="29"/>
      <c r="M39" s="28"/>
      <c r="N39" s="28"/>
      <c r="O39" s="28"/>
      <c r="P39" s="28"/>
      <c r="Q39" s="28"/>
    </row>
    <row r="40" spans="1:18"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spans="1:18" ht="21">
      <c r="A41" s="23" t="s">
        <v>37</v>
      </c>
      <c r="B41" s="24"/>
      <c r="C41" s="24"/>
      <c r="D41" s="24"/>
      <c r="E41" s="24"/>
      <c r="F41" s="24"/>
      <c r="G41" s="24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 spans="1:18"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spans="1:18">
      <c r="B43" s="5" t="s">
        <v>174</v>
      </c>
      <c r="F43" s="27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spans="1:18">
      <c r="C44" s="5" t="s">
        <v>175</v>
      </c>
      <c r="F44" s="27"/>
      <c r="H44" s="28"/>
      <c r="I44" s="28"/>
      <c r="J44" s="28"/>
      <c r="K44" s="28"/>
      <c r="L44" s="28"/>
      <c r="M44" s="28"/>
      <c r="N44" s="28"/>
      <c r="O44" s="28"/>
      <c r="P44" s="28"/>
      <c r="Q44" s="28"/>
    </row>
    <row r="45" spans="1:18">
      <c r="D45" t="s">
        <v>176</v>
      </c>
      <c r="F45" s="27" t="s">
        <v>156</v>
      </c>
      <c r="H45" s="29">
        <f>'HISTORICAL INFORMATION'!H66</f>
        <v>268.45999999999998</v>
      </c>
      <c r="I45" s="29">
        <f>'HISTORICAL INFORMATION'!I66</f>
        <v>1029.6600000000001</v>
      </c>
      <c r="J45" s="29">
        <f>'HISTORICAL INFORMATION'!J66</f>
        <v>3053.26</v>
      </c>
      <c r="K45" s="29">
        <f>'HISTORICAL INFORMATION'!K66</f>
        <v>2970.44</v>
      </c>
      <c r="L45" s="29">
        <f>'HISTORICAL INFORMATION'!L66</f>
        <v>18522.43</v>
      </c>
      <c r="M45" s="28">
        <f t="shared" ref="M45:R45" si="22">M105</f>
        <v>11007.131484822317</v>
      </c>
      <c r="N45" s="28">
        <f t="shared" si="22"/>
        <v>6446.3669096447211</v>
      </c>
      <c r="O45" s="28">
        <f t="shared" si="22"/>
        <v>6003.6822563792857</v>
      </c>
      <c r="P45" s="28">
        <f t="shared" si="22"/>
        <v>10660.517227913322</v>
      </c>
      <c r="Q45" s="28">
        <f t="shared" si="22"/>
        <v>21434.232889974741</v>
      </c>
      <c r="R45" s="28">
        <f t="shared" si="22"/>
        <v>39327.922947055267</v>
      </c>
    </row>
    <row r="46" spans="1:18">
      <c r="D46" t="s">
        <v>177</v>
      </c>
      <c r="F46" s="27" t="s">
        <v>156</v>
      </c>
      <c r="H46" s="29">
        <f>'HISTORICAL INFORMATION'!H67:L67</f>
        <v>0</v>
      </c>
      <c r="I46" s="29">
        <f>'HISTORICAL INFORMATION'!I67:M67</f>
        <v>8925.49</v>
      </c>
      <c r="J46" s="29">
        <f>'HISTORICAL INFORMATION'!J67:N67</f>
        <v>2813.76</v>
      </c>
      <c r="K46" s="29">
        <f>'HISTORICAL INFORMATION'!K67:O67</f>
        <v>2360.75</v>
      </c>
      <c r="L46" s="29">
        <f>'HISTORICAL INFORMATION'!L67:P67</f>
        <v>6370.4</v>
      </c>
      <c r="M46" s="28">
        <f t="shared" ref="M46:R46" si="23">L46</f>
        <v>6370.4</v>
      </c>
      <c r="N46" s="28">
        <f t="shared" si="23"/>
        <v>6370.4</v>
      </c>
      <c r="O46" s="28">
        <f t="shared" si="23"/>
        <v>6370.4</v>
      </c>
      <c r="P46" s="28">
        <f t="shared" si="23"/>
        <v>6370.4</v>
      </c>
      <c r="Q46" s="28">
        <f t="shared" si="23"/>
        <v>6370.4</v>
      </c>
      <c r="R46" s="28">
        <f t="shared" si="23"/>
        <v>6370.4</v>
      </c>
    </row>
    <row r="47" spans="1:18">
      <c r="D47" t="s">
        <v>178</v>
      </c>
      <c r="F47" s="27" t="s">
        <v>156</v>
      </c>
      <c r="H47" s="29">
        <f>'HISTORICAL INFORMATION'!H65</f>
        <v>12069.09</v>
      </c>
      <c r="I47" s="29">
        <f>'HISTORICAL INFORMATION'!I65</f>
        <v>16370.22</v>
      </c>
      <c r="J47" s="29">
        <f>'HISTORICAL INFORMATION'!J65</f>
        <v>23026.11</v>
      </c>
      <c r="K47" s="29">
        <f>'HISTORICAL INFORMATION'!K65</f>
        <v>20635.21</v>
      </c>
      <c r="L47" s="29">
        <f>'HISTORICAL INFORMATION'!L65</f>
        <v>29049.47</v>
      </c>
      <c r="M47" s="28">
        <f t="shared" ref="M47:R47" si="24">M25*M17/365</f>
        <v>43019.335091771107</v>
      </c>
      <c r="N47" s="28">
        <f t="shared" si="24"/>
        <v>55404.097042675421</v>
      </c>
      <c r="O47" s="28">
        <f t="shared" si="24"/>
        <v>69759.26772030475</v>
      </c>
      <c r="P47" s="28">
        <f t="shared" si="24"/>
        <v>86026.396382830644</v>
      </c>
      <c r="Q47" s="28">
        <f t="shared" si="24"/>
        <v>104080.80339795865</v>
      </c>
      <c r="R47" s="28">
        <f t="shared" si="24"/>
        <v>123739.94918829623</v>
      </c>
    </row>
    <row r="48" spans="1:18">
      <c r="D48" t="s">
        <v>179</v>
      </c>
      <c r="F48" s="27" t="s">
        <v>156</v>
      </c>
      <c r="H48" s="29">
        <f>'HISTORICAL INFORMATION'!H63</f>
        <v>6036.31</v>
      </c>
      <c r="I48" s="29">
        <f>'HISTORICAL INFORMATION'!I63</f>
        <v>11217.09</v>
      </c>
      <c r="J48" s="29">
        <f>'HISTORICAL INFORMATION'!J63</f>
        <v>11917.3</v>
      </c>
      <c r="K48" s="29">
        <f>'HISTORICAL INFORMATION'!K63</f>
        <v>15673.41</v>
      </c>
      <c r="L48" s="29">
        <f>'HISTORICAL INFORMATION'!L63</f>
        <v>17994.02</v>
      </c>
      <c r="M48" s="28">
        <f t="shared" ref="M48:R48" si="25">-M26*M18/365</f>
        <v>26137.346550353923</v>
      </c>
      <c r="N48" s="28">
        <f t="shared" si="25"/>
        <v>33661.982027956707</v>
      </c>
      <c r="O48" s="28">
        <f t="shared" si="25"/>
        <v>42383.782818003026</v>
      </c>
      <c r="P48" s="28">
        <f t="shared" si="25"/>
        <v>52267.235882180314</v>
      </c>
      <c r="Q48" s="28">
        <f t="shared" si="25"/>
        <v>63236.589357980716</v>
      </c>
      <c r="R48" s="28">
        <f t="shared" si="25"/>
        <v>75180.937296177319</v>
      </c>
    </row>
    <row r="49" spans="2:18">
      <c r="D49" t="s">
        <v>180</v>
      </c>
      <c r="F49" s="27" t="s">
        <v>156</v>
      </c>
      <c r="H49" s="29">
        <f>'HISTORICAL INFORMATION'!H70</f>
        <v>3215.83</v>
      </c>
      <c r="I49" s="29">
        <f>'HISTORICAL INFORMATION'!I70</f>
        <v>4855.2299999999996</v>
      </c>
      <c r="J49" s="29">
        <f>'HISTORICAL INFORMATION'!J70</f>
        <v>4446.79</v>
      </c>
      <c r="K49" s="29">
        <f>'HISTORICAL INFORMATION'!K70</f>
        <v>7535.49</v>
      </c>
      <c r="L49" s="29">
        <f>'HISTORICAL INFORMATION'!L70</f>
        <v>7011.3</v>
      </c>
      <c r="M49" s="28">
        <f t="shared" ref="M49:R49" si="26">L49</f>
        <v>7011.3</v>
      </c>
      <c r="N49" s="28">
        <f t="shared" si="26"/>
        <v>7011.3</v>
      </c>
      <c r="O49" s="28">
        <f t="shared" si="26"/>
        <v>7011.3</v>
      </c>
      <c r="P49" s="28">
        <f t="shared" si="26"/>
        <v>7011.3</v>
      </c>
      <c r="Q49" s="28">
        <f t="shared" si="26"/>
        <v>7011.3</v>
      </c>
      <c r="R49" s="28">
        <f t="shared" si="26"/>
        <v>7011.3</v>
      </c>
    </row>
    <row r="50" spans="2:18">
      <c r="F50" s="27"/>
      <c r="H50" s="29"/>
      <c r="I50" s="29"/>
      <c r="J50" s="29"/>
      <c r="K50" s="29"/>
      <c r="L50" s="29"/>
      <c r="M50" s="28"/>
      <c r="N50" s="28"/>
      <c r="O50" s="28"/>
      <c r="P50" s="28"/>
      <c r="Q50" s="28"/>
      <c r="R50" s="28"/>
    </row>
    <row r="51" spans="2:18">
      <c r="C51" s="5" t="s">
        <v>181</v>
      </c>
      <c r="F51" s="27"/>
      <c r="H51" s="29"/>
      <c r="I51" s="29"/>
      <c r="J51" s="29"/>
      <c r="K51" s="29"/>
      <c r="L51" s="29"/>
      <c r="M51" s="28"/>
      <c r="N51" s="28"/>
      <c r="O51" s="28"/>
      <c r="P51" s="28"/>
      <c r="Q51" s="28"/>
      <c r="R51" s="28"/>
    </row>
    <row r="52" spans="2:18">
      <c r="D52" t="s">
        <v>182</v>
      </c>
      <c r="F52" s="27" t="s">
        <v>156</v>
      </c>
      <c r="H52" s="29">
        <f>SUM('HISTORICAL INFORMATION'!H49:H51,'HISTORICAL INFORMATION'!H53:H54)</f>
        <v>16080.54</v>
      </c>
      <c r="I52" s="29">
        <f>SUM('HISTORICAL INFORMATION'!I49:I51,'HISTORICAL INFORMATION'!I53:I54)</f>
        <v>18889.98</v>
      </c>
      <c r="J52" s="29">
        <f>SUM('HISTORICAL INFORMATION'!J49:J51,'HISTORICAL INFORMATION'!J53:J54)</f>
        <v>26842.57</v>
      </c>
      <c r="K52" s="29">
        <f>SUM('HISTORICAL INFORMATION'!K49:K51,'HISTORICAL INFORMATION'!K53:K54)</f>
        <v>49578.35</v>
      </c>
      <c r="L52" s="29">
        <f>SUM('HISTORICAL INFORMATION'!L49:L51,'HISTORICAL INFORMATION'!L53:L54)</f>
        <v>64387.22</v>
      </c>
      <c r="M52" s="28">
        <f t="shared" ref="M52:R52" si="27">M120</f>
        <v>77780.059705920867</v>
      </c>
      <c r="N52" s="28">
        <f t="shared" si="27"/>
        <v>90764.976199738507</v>
      </c>
      <c r="O52" s="28">
        <f t="shared" si="27"/>
        <v>103283.43378488382</v>
      </c>
      <c r="P52" s="28">
        <f t="shared" si="27"/>
        <v>115229.31472183876</v>
      </c>
      <c r="Q52" s="28">
        <f t="shared" si="27"/>
        <v>126475.57728978976</v>
      </c>
      <c r="R52" s="28">
        <f t="shared" si="27"/>
        <v>136892.95536755191</v>
      </c>
    </row>
    <row r="53" spans="2:18">
      <c r="D53" t="s">
        <v>43</v>
      </c>
      <c r="F53" s="27" t="s">
        <v>156</v>
      </c>
      <c r="H53" s="29">
        <f>'HISTORICAL INFORMATION'!H52</f>
        <v>2570.11</v>
      </c>
      <c r="I53" s="29">
        <f>'HISTORICAL INFORMATION'!I52</f>
        <v>1859.56</v>
      </c>
      <c r="J53" s="29">
        <f>'HISTORICAL INFORMATION'!J52</f>
        <v>2032.29</v>
      </c>
      <c r="K53" s="29">
        <f>'HISTORICAL INFORMATION'!K52</f>
        <v>5680.09</v>
      </c>
      <c r="L53" s="29">
        <f>'HISTORICAL INFORMATION'!L52</f>
        <v>5680.09</v>
      </c>
      <c r="M53" s="28">
        <f t="shared" ref="M53:R55" si="28">L53</f>
        <v>5680.09</v>
      </c>
      <c r="N53" s="28">
        <f t="shared" si="28"/>
        <v>5680.09</v>
      </c>
      <c r="O53" s="28">
        <f t="shared" si="28"/>
        <v>5680.09</v>
      </c>
      <c r="P53" s="28">
        <f t="shared" si="28"/>
        <v>5680.09</v>
      </c>
      <c r="Q53" s="28">
        <f t="shared" si="28"/>
        <v>5680.09</v>
      </c>
      <c r="R53" s="28">
        <f t="shared" si="28"/>
        <v>5680.09</v>
      </c>
    </row>
    <row r="54" spans="2:18">
      <c r="D54" t="s">
        <v>183</v>
      </c>
      <c r="F54" s="27" t="s">
        <v>156</v>
      </c>
      <c r="H54" s="55">
        <f>SUM('HISTORICAL INFORMATION'!H56,'HISTORICAL INFORMATION'!H57,'HISTORICAL INFORMATION'!H58,'HISTORICAL INFORMATION'!H68)</f>
        <v>446.89000000000004</v>
      </c>
      <c r="I54" s="55">
        <f>SUM('HISTORICAL INFORMATION'!I56,'HISTORICAL INFORMATION'!I57,'HISTORICAL INFORMATION'!I58,'HISTORICAL INFORMATION'!I68)</f>
        <v>1322.43</v>
      </c>
      <c r="J54" s="55">
        <f>SUM('HISTORICAL INFORMATION'!J56,'HISTORICAL INFORMATION'!J57,'HISTORICAL INFORMATION'!J58,'HISTORICAL INFORMATION'!J68)</f>
        <v>944.82</v>
      </c>
      <c r="K54" s="55">
        <f>SUM('HISTORICAL INFORMATION'!K56,'HISTORICAL INFORMATION'!K57,'HISTORICAL INFORMATION'!K58,'HISTORICAL INFORMATION'!K68)</f>
        <v>432.31</v>
      </c>
      <c r="L54" s="55">
        <f>SUM('HISTORICAL INFORMATION'!L56,'HISTORICAL INFORMATION'!L57,'HISTORICAL INFORMATION'!L58,'HISTORICAL INFORMATION'!L68)</f>
        <v>728.75</v>
      </c>
      <c r="M54" s="28">
        <f t="shared" si="28"/>
        <v>728.75</v>
      </c>
      <c r="N54" s="28">
        <f t="shared" si="28"/>
        <v>728.75</v>
      </c>
      <c r="O54" s="28">
        <f t="shared" si="28"/>
        <v>728.75</v>
      </c>
      <c r="P54" s="28">
        <f t="shared" si="28"/>
        <v>728.75</v>
      </c>
      <c r="Q54" s="28">
        <f t="shared" si="28"/>
        <v>728.75</v>
      </c>
      <c r="R54" s="28">
        <f t="shared" si="28"/>
        <v>728.75</v>
      </c>
    </row>
    <row r="55" spans="2:18">
      <c r="D55" t="s">
        <v>184</v>
      </c>
      <c r="F55" s="27" t="s">
        <v>156</v>
      </c>
      <c r="H55" s="29">
        <f>SUM('HISTORICAL INFORMATION'!H59,'HISTORICAL INFORMATION'!H60,'HISTORICAL INFORMATION'!H69)</f>
        <v>639.58000000000004</v>
      </c>
      <c r="I55" s="29">
        <f>SUM('HISTORICAL INFORMATION'!I59,'HISTORICAL INFORMATION'!I60,'HISTORICAL INFORMATION'!I69)</f>
        <v>1418.63</v>
      </c>
      <c r="J55" s="29">
        <f>SUM('HISTORICAL INFORMATION'!J59,'HISTORICAL INFORMATION'!J60,'HISTORICAL INFORMATION'!J69)</f>
        <v>1616.9399999999998</v>
      </c>
      <c r="K55" s="29">
        <f>SUM('HISTORICAL INFORMATION'!K59,'HISTORICAL INFORMATION'!K60,'HISTORICAL INFORMATION'!K69)</f>
        <v>4724.2800000000007</v>
      </c>
      <c r="L55" s="29">
        <f>SUM('HISTORICAL INFORMATION'!L59,'HISTORICAL INFORMATION'!L60,'HISTORICAL INFORMATION'!L69)</f>
        <v>5182.43</v>
      </c>
      <c r="M55" s="28">
        <f t="shared" si="28"/>
        <v>5182.43</v>
      </c>
      <c r="N55" s="28">
        <f t="shared" si="28"/>
        <v>5182.43</v>
      </c>
      <c r="O55" s="28">
        <f t="shared" si="28"/>
        <v>5182.43</v>
      </c>
      <c r="P55" s="28">
        <f t="shared" si="28"/>
        <v>5182.43</v>
      </c>
      <c r="Q55" s="28">
        <f t="shared" si="28"/>
        <v>5182.43</v>
      </c>
      <c r="R55" s="28">
        <f t="shared" si="28"/>
        <v>5182.43</v>
      </c>
    </row>
    <row r="56" spans="2:18" ht="15" thickBot="1">
      <c r="D56" s="42" t="s">
        <v>185</v>
      </c>
      <c r="E56" s="43"/>
      <c r="F56" s="50" t="s">
        <v>156</v>
      </c>
      <c r="G56" s="43"/>
      <c r="H56" s="56">
        <f>SUM(H45:H55)</f>
        <v>41326.810000000005</v>
      </c>
      <c r="I56" s="56">
        <f t="shared" ref="I56:Q56" si="29">SUM(I45:I55)</f>
        <v>65888.289999999994</v>
      </c>
      <c r="J56" s="56">
        <f t="shared" si="29"/>
        <v>76693.840000000011</v>
      </c>
      <c r="K56" s="56">
        <f t="shared" si="29"/>
        <v>109590.32999999999</v>
      </c>
      <c r="L56" s="56">
        <f t="shared" si="29"/>
        <v>154926.11000000002</v>
      </c>
      <c r="M56" s="56">
        <f t="shared" si="29"/>
        <v>182916.84283286819</v>
      </c>
      <c r="N56" s="56">
        <f t="shared" si="29"/>
        <v>211250.39218001536</v>
      </c>
      <c r="O56" s="56">
        <f t="shared" si="29"/>
        <v>246403.13657957086</v>
      </c>
      <c r="P56" s="56">
        <f t="shared" si="29"/>
        <v>289156.43421476305</v>
      </c>
      <c r="Q56" s="56">
        <f t="shared" si="29"/>
        <v>340200.17293570383</v>
      </c>
      <c r="R56" s="56">
        <f t="shared" ref="R56" si="30">SUM(R45:R55)</f>
        <v>400114.73479908076</v>
      </c>
    </row>
    <row r="57" spans="2:18">
      <c r="F57" s="27"/>
      <c r="H57" s="29"/>
      <c r="I57" s="29"/>
      <c r="J57" s="29"/>
      <c r="K57" s="29"/>
      <c r="L57" s="29"/>
      <c r="M57" s="28"/>
      <c r="N57" s="28"/>
      <c r="O57" s="28"/>
      <c r="P57" s="28"/>
      <c r="Q57" s="28"/>
    </row>
    <row r="58" spans="2:18">
      <c r="F58" s="27"/>
      <c r="H58" s="29"/>
      <c r="I58" s="29"/>
      <c r="J58" s="29"/>
      <c r="K58" s="29"/>
      <c r="L58" s="29"/>
      <c r="M58" s="28"/>
      <c r="N58" s="28"/>
      <c r="O58" s="28"/>
      <c r="P58" s="28"/>
      <c r="Q58" s="28"/>
    </row>
    <row r="59" spans="2:18">
      <c r="B59" s="5" t="s">
        <v>186</v>
      </c>
      <c r="F59" s="27"/>
      <c r="H59" s="29"/>
      <c r="I59" s="29"/>
      <c r="J59" s="29"/>
      <c r="K59" s="29"/>
      <c r="L59" s="29"/>
      <c r="M59" s="28"/>
      <c r="N59" s="28"/>
      <c r="O59" s="28"/>
      <c r="P59" s="28"/>
      <c r="Q59" s="28"/>
    </row>
    <row r="60" spans="2:18">
      <c r="C60" s="5" t="s">
        <v>187</v>
      </c>
      <c r="F60" s="27"/>
      <c r="H60" s="29"/>
      <c r="I60" s="29"/>
      <c r="J60" s="29"/>
      <c r="K60" s="29"/>
      <c r="L60" s="29"/>
      <c r="M60" s="28"/>
      <c r="N60" s="28"/>
      <c r="O60" s="28"/>
      <c r="P60" s="28"/>
      <c r="Q60" s="28"/>
    </row>
    <row r="61" spans="2:18">
      <c r="D61" t="s">
        <v>188</v>
      </c>
      <c r="F61" s="27" t="s">
        <v>156</v>
      </c>
      <c r="H61" s="29">
        <f>SUM('HISTORICAL INFORMATION'!H91:H92)</f>
        <v>8477.5</v>
      </c>
      <c r="I61" s="29">
        <f>SUM('HISTORICAL INFORMATION'!I91:I92)</f>
        <v>11841.759999999998</v>
      </c>
      <c r="J61" s="29">
        <f>SUM('HISTORICAL INFORMATION'!J91:J92)</f>
        <v>14204.77</v>
      </c>
      <c r="K61" s="29">
        <f>SUM('HISTORICAL INFORMATION'!K91:K92)</f>
        <v>13460.88</v>
      </c>
      <c r="L61" s="29">
        <f>SUM('HISTORICAL INFORMATION'!L91:L92)</f>
        <v>15604.57</v>
      </c>
      <c r="M61" s="28">
        <f t="shared" ref="M61:R61" si="31">-M26*M19/365</f>
        <v>28023.193174686498</v>
      </c>
      <c r="N61" s="28">
        <f t="shared" si="31"/>
        <v>36090.741774225069</v>
      </c>
      <c r="O61" s="28">
        <f t="shared" si="31"/>
        <v>45441.83286144532</v>
      </c>
      <c r="P61" s="28">
        <f t="shared" si="31"/>
        <v>56038.391081952097</v>
      </c>
      <c r="Q61" s="28">
        <f t="shared" si="31"/>
        <v>67799.198968918383</v>
      </c>
      <c r="R61" s="28">
        <f t="shared" si="31"/>
        <v>80605.348551582094</v>
      </c>
    </row>
    <row r="62" spans="2:18">
      <c r="D62" t="s">
        <v>77</v>
      </c>
      <c r="F62" s="27" t="s">
        <v>156</v>
      </c>
      <c r="H62" s="29">
        <f>SUM('HISTORICAL INFORMATION'!H93:H94)</f>
        <v>1612.5900000000001</v>
      </c>
      <c r="I62" s="29">
        <f>SUM('HISTORICAL INFORMATION'!I93:I94)</f>
        <v>1064.69</v>
      </c>
      <c r="J62" s="29">
        <f>SUM('HISTORICAL INFORMATION'!J93:J94)</f>
        <v>1782.4</v>
      </c>
      <c r="K62" s="29">
        <f>SUM('HISTORICAL INFORMATION'!K93:K94)</f>
        <v>4755.59</v>
      </c>
      <c r="L62" s="29">
        <f>SUM('HISTORICAL INFORMATION'!L93:L94)</f>
        <v>3801.74</v>
      </c>
      <c r="M62" s="28">
        <f t="shared" ref="M62:R62" si="32">L62</f>
        <v>3801.74</v>
      </c>
      <c r="N62" s="28">
        <f t="shared" si="32"/>
        <v>3801.74</v>
      </c>
      <c r="O62" s="28">
        <f t="shared" si="32"/>
        <v>3801.74</v>
      </c>
      <c r="P62" s="28">
        <f t="shared" si="32"/>
        <v>3801.74</v>
      </c>
      <c r="Q62" s="28">
        <f t="shared" si="32"/>
        <v>3801.74</v>
      </c>
      <c r="R62" s="28">
        <f t="shared" si="32"/>
        <v>3801.74</v>
      </c>
    </row>
    <row r="63" spans="2:18">
      <c r="C63" s="5" t="s">
        <v>189</v>
      </c>
      <c r="F63" s="27"/>
      <c r="H63" s="29"/>
      <c r="I63" s="29"/>
      <c r="J63" s="29"/>
      <c r="K63" s="29"/>
      <c r="L63" s="29"/>
      <c r="M63" s="28"/>
      <c r="N63" s="28"/>
      <c r="O63" s="28"/>
      <c r="P63" s="28"/>
      <c r="Q63" s="28"/>
      <c r="R63" s="28"/>
    </row>
    <row r="64" spans="2:18">
      <c r="D64" t="s">
        <v>190</v>
      </c>
      <c r="F64" s="27" t="s">
        <v>156</v>
      </c>
      <c r="H64" s="29">
        <f>SUM('HISTORICAL INFORMATION'!H82,'HISTORICAL INFORMATION'!H83,'HISTORICAL INFORMATION'!H89)</f>
        <v>13663.57</v>
      </c>
      <c r="I64" s="29">
        <f>SUM('HISTORICAL INFORMATION'!I82,'HISTORICAL INFORMATION'!I83,'HISTORICAL INFORMATION'!I89)</f>
        <v>84.41</v>
      </c>
      <c r="J64" s="29">
        <f>SUM('HISTORICAL INFORMATION'!J82,'HISTORICAL INFORMATION'!J83,'HISTORICAL INFORMATION'!J89)</f>
        <v>360.03</v>
      </c>
      <c r="K64" s="29">
        <f>SUM('HISTORICAL INFORMATION'!K82,'HISTORICAL INFORMATION'!K83,'HISTORICAL INFORMATION'!K89)</f>
        <v>21664.660000000003</v>
      </c>
      <c r="L64" s="29">
        <f>SUM('HISTORICAL INFORMATION'!L82,'HISTORICAL INFORMATION'!L83,'HISTORICAL INFORMATION'!L89)</f>
        <v>1293.8699999999999</v>
      </c>
      <c r="M64" s="28">
        <f t="shared" ref="M64:R64" si="33">M125</f>
        <v>1293.8699999999999</v>
      </c>
      <c r="N64" s="28">
        <f t="shared" si="33"/>
        <v>1293.8699999999999</v>
      </c>
      <c r="O64" s="28">
        <f t="shared" si="33"/>
        <v>1293.8699999999999</v>
      </c>
      <c r="P64" s="28">
        <f t="shared" si="33"/>
        <v>1293.8699999999999</v>
      </c>
      <c r="Q64" s="28">
        <f t="shared" si="33"/>
        <v>1293.8699999999999</v>
      </c>
      <c r="R64" s="28">
        <f t="shared" si="33"/>
        <v>1293.8699999999999</v>
      </c>
    </row>
    <row r="65" spans="1:18">
      <c r="D65" t="s">
        <v>191</v>
      </c>
      <c r="F65" s="27" t="s">
        <v>156</v>
      </c>
      <c r="H65" s="29">
        <f>SUM('HISTORICAL INFORMATION'!H84,'HISTORICAL INFORMATION'!H85,'HISTORICAL INFORMATION'!H95)</f>
        <v>879.85</v>
      </c>
      <c r="I65" s="29">
        <f>SUM('HISTORICAL INFORMATION'!I84,'HISTORICAL INFORMATION'!I85,'HISTORICAL INFORMATION'!I95)</f>
        <v>670.03</v>
      </c>
      <c r="J65" s="29">
        <f>SUM('HISTORICAL INFORMATION'!J84,'HISTORICAL INFORMATION'!J85,'HISTORICAL INFORMATION'!J95)</f>
        <v>950.72</v>
      </c>
      <c r="K65" s="29">
        <f>SUM('HISTORICAL INFORMATION'!K84,'HISTORICAL INFORMATION'!K85,'HISTORICAL INFORMATION'!K95)</f>
        <v>1433.3999999999999</v>
      </c>
      <c r="L65" s="29">
        <f>SUM('HISTORICAL INFORMATION'!L84,'HISTORICAL INFORMATION'!L85,'HISTORICAL INFORMATION'!L95)</f>
        <v>2217.89</v>
      </c>
      <c r="M65" s="28">
        <f t="shared" ref="M65:R65" si="34">L65</f>
        <v>2217.89</v>
      </c>
      <c r="N65" s="28">
        <f t="shared" si="34"/>
        <v>2217.89</v>
      </c>
      <c r="O65" s="28">
        <f t="shared" si="34"/>
        <v>2217.89</v>
      </c>
      <c r="P65" s="28">
        <f t="shared" si="34"/>
        <v>2217.89</v>
      </c>
      <c r="Q65" s="28">
        <f t="shared" si="34"/>
        <v>2217.89</v>
      </c>
      <c r="R65" s="28">
        <f t="shared" si="34"/>
        <v>2217.89</v>
      </c>
    </row>
    <row r="66" spans="1:18">
      <c r="D66" s="30" t="s">
        <v>192</v>
      </c>
      <c r="E66" s="31"/>
      <c r="F66" s="32" t="s">
        <v>156</v>
      </c>
      <c r="G66" s="30"/>
      <c r="H66" s="57">
        <f t="shared" ref="H66:Q66" si="35">SUM(H61:H65)</f>
        <v>24633.51</v>
      </c>
      <c r="I66" s="57">
        <f t="shared" si="35"/>
        <v>13660.89</v>
      </c>
      <c r="J66" s="57">
        <f t="shared" si="35"/>
        <v>17297.920000000002</v>
      </c>
      <c r="K66" s="57">
        <f t="shared" si="35"/>
        <v>41314.530000000006</v>
      </c>
      <c r="L66" s="57">
        <f t="shared" si="35"/>
        <v>22918.069999999996</v>
      </c>
      <c r="M66" s="57">
        <f t="shared" si="35"/>
        <v>35336.693174686501</v>
      </c>
      <c r="N66" s="57">
        <f t="shared" si="35"/>
        <v>43404.241774225069</v>
      </c>
      <c r="O66" s="57">
        <f t="shared" si="35"/>
        <v>52755.33286144532</v>
      </c>
      <c r="P66" s="57">
        <f t="shared" si="35"/>
        <v>63351.891081952097</v>
      </c>
      <c r="Q66" s="57">
        <f t="shared" si="35"/>
        <v>75112.698968918383</v>
      </c>
      <c r="R66" s="57">
        <f t="shared" ref="R66" si="36">SUM(R61:R65)</f>
        <v>87918.848551582094</v>
      </c>
    </row>
    <row r="67" spans="1:18">
      <c r="C67" s="5" t="s">
        <v>193</v>
      </c>
      <c r="F67" s="27"/>
      <c r="H67" s="29"/>
      <c r="I67" s="29"/>
      <c r="J67" s="29"/>
      <c r="K67" s="29"/>
      <c r="L67" s="29"/>
      <c r="M67" s="28"/>
      <c r="N67" s="28"/>
      <c r="O67" s="28"/>
      <c r="P67" s="28"/>
      <c r="Q67" s="28"/>
      <c r="R67" s="28"/>
    </row>
    <row r="68" spans="1:18">
      <c r="D68" t="s">
        <v>194</v>
      </c>
      <c r="F68" s="27" t="s">
        <v>156</v>
      </c>
      <c r="H68" s="29">
        <f>'HISTORICAL INFORMATION'!H75</f>
        <v>3150</v>
      </c>
      <c r="I68" s="29">
        <f>'HISTORICAL INFORMATION'!I75</f>
        <v>3643.71</v>
      </c>
      <c r="J68" s="29">
        <f>'HISTORICAL INFORMATION'!J75</f>
        <v>3643.71</v>
      </c>
      <c r="K68" s="29">
        <f>'HISTORICAL INFORMATION'!K75</f>
        <v>3688.06</v>
      </c>
      <c r="L68" s="29">
        <f>'HISTORICAL INFORMATION'!L75</f>
        <v>4093.45</v>
      </c>
      <c r="M68" s="28">
        <f t="shared" ref="M68:R68" si="37">L68</f>
        <v>4093.45</v>
      </c>
      <c r="N68" s="28">
        <f t="shared" si="37"/>
        <v>4093.45</v>
      </c>
      <c r="O68" s="28">
        <f t="shared" si="37"/>
        <v>4093.45</v>
      </c>
      <c r="P68" s="28">
        <f t="shared" si="37"/>
        <v>4093.45</v>
      </c>
      <c r="Q68" s="28">
        <f t="shared" si="37"/>
        <v>4093.45</v>
      </c>
      <c r="R68" s="28">
        <f t="shared" si="37"/>
        <v>4093.45</v>
      </c>
    </row>
    <row r="69" spans="1:18">
      <c r="D69" t="s">
        <v>195</v>
      </c>
      <c r="F69" s="27" t="s">
        <v>156</v>
      </c>
      <c r="H69" s="29">
        <f>'HISTORICAL INFORMATION'!H76</f>
        <v>13543.32</v>
      </c>
      <c r="I69" s="29">
        <f>'HISTORICAL INFORMATION'!I76</f>
        <v>48583.69</v>
      </c>
      <c r="J69" s="29">
        <f>'HISTORICAL INFORMATION'!J76</f>
        <v>55752.21</v>
      </c>
      <c r="K69" s="29">
        <f>'HISTORICAL INFORMATION'!K76</f>
        <v>63711.68</v>
      </c>
      <c r="L69" s="29">
        <f>'HISTORICAL INFORMATION'!L76</f>
        <v>126869.42</v>
      </c>
      <c r="M69" s="28">
        <f t="shared" ref="M69:R69" si="38">L69+M38+M99</f>
        <v>142441.52965818171</v>
      </c>
      <c r="N69" s="28">
        <f t="shared" si="38"/>
        <v>162707.53040579028</v>
      </c>
      <c r="O69" s="28">
        <f t="shared" si="38"/>
        <v>188509.18371812557</v>
      </c>
      <c r="P69" s="28">
        <f t="shared" si="38"/>
        <v>220665.92313281095</v>
      </c>
      <c r="Q69" s="28">
        <f t="shared" si="38"/>
        <v>259948.85396678551</v>
      </c>
      <c r="R69" s="28">
        <f t="shared" si="38"/>
        <v>307057.26624749869</v>
      </c>
    </row>
    <row r="70" spans="1:18">
      <c r="D70" s="30" t="s">
        <v>196</v>
      </c>
      <c r="E70" s="31"/>
      <c r="F70" s="32" t="s">
        <v>156</v>
      </c>
      <c r="G70" s="30"/>
      <c r="H70" s="57">
        <f t="shared" ref="H70:Q70" si="39">SUM(H68:H69)</f>
        <v>16693.32</v>
      </c>
      <c r="I70" s="57">
        <f t="shared" si="39"/>
        <v>52227.4</v>
      </c>
      <c r="J70" s="57">
        <f t="shared" si="39"/>
        <v>59395.92</v>
      </c>
      <c r="K70" s="57">
        <f t="shared" si="39"/>
        <v>67399.740000000005</v>
      </c>
      <c r="L70" s="57">
        <f t="shared" si="39"/>
        <v>130962.87</v>
      </c>
      <c r="M70" s="57">
        <f t="shared" si="39"/>
        <v>146534.97965818172</v>
      </c>
      <c r="N70" s="57">
        <f t="shared" si="39"/>
        <v>166800.98040579029</v>
      </c>
      <c r="O70" s="57">
        <f t="shared" si="39"/>
        <v>192602.63371812558</v>
      </c>
      <c r="P70" s="57">
        <f t="shared" si="39"/>
        <v>224759.37313281096</v>
      </c>
      <c r="Q70" s="57">
        <f t="shared" si="39"/>
        <v>264042.30396678549</v>
      </c>
      <c r="R70" s="57">
        <f t="shared" ref="R70" si="40">SUM(R68:R69)</f>
        <v>311150.7162474987</v>
      </c>
    </row>
    <row r="71" spans="1:18">
      <c r="D71" t="s">
        <v>64</v>
      </c>
      <c r="F71" s="27" t="s">
        <v>156</v>
      </c>
      <c r="H71" s="29">
        <f>'HISTORICAL INFORMATION'!H78</f>
        <v>0</v>
      </c>
      <c r="I71" s="29">
        <f>'HISTORICAL INFORMATION'!I78</f>
        <v>0</v>
      </c>
      <c r="J71" s="29">
        <f>'HISTORICAL INFORMATION'!J78</f>
        <v>0</v>
      </c>
      <c r="K71" s="29">
        <f>'HISTORICAL INFORMATION'!K78</f>
        <v>876.06</v>
      </c>
      <c r="L71" s="29">
        <f>'HISTORICAL INFORMATION'!L78</f>
        <v>1045.17</v>
      </c>
      <c r="M71" s="79">
        <f t="shared" ref="M71:R71" si="41">L71</f>
        <v>1045.17</v>
      </c>
      <c r="N71" s="79">
        <f t="shared" si="41"/>
        <v>1045.17</v>
      </c>
      <c r="O71" s="79">
        <f t="shared" si="41"/>
        <v>1045.17</v>
      </c>
      <c r="P71" s="79">
        <f t="shared" si="41"/>
        <v>1045.17</v>
      </c>
      <c r="Q71" s="79">
        <f t="shared" si="41"/>
        <v>1045.17</v>
      </c>
      <c r="R71" s="79">
        <f t="shared" si="41"/>
        <v>1045.17</v>
      </c>
    </row>
    <row r="72" spans="1:18" ht="15" thickBot="1">
      <c r="D72" s="42" t="s">
        <v>197</v>
      </c>
      <c r="E72" s="43"/>
      <c r="F72" s="50" t="s">
        <v>156</v>
      </c>
      <c r="G72" s="42"/>
      <c r="H72" s="56">
        <f t="shared" ref="H72:Q72" si="42">SUM(H66,H70,H71)</f>
        <v>41326.83</v>
      </c>
      <c r="I72" s="56">
        <f t="shared" si="42"/>
        <v>65888.290000000008</v>
      </c>
      <c r="J72" s="56">
        <f t="shared" si="42"/>
        <v>76693.84</v>
      </c>
      <c r="K72" s="56">
        <f t="shared" si="42"/>
        <v>109590.33000000002</v>
      </c>
      <c r="L72" s="56">
        <f t="shared" si="42"/>
        <v>154926.11000000002</v>
      </c>
      <c r="M72" s="56">
        <f t="shared" si="42"/>
        <v>182916.84283286825</v>
      </c>
      <c r="N72" s="56">
        <f t="shared" si="42"/>
        <v>211250.39218001536</v>
      </c>
      <c r="O72" s="56">
        <f t="shared" si="42"/>
        <v>246403.13657957091</v>
      </c>
      <c r="P72" s="56">
        <f t="shared" si="42"/>
        <v>289156.43421476305</v>
      </c>
      <c r="Q72" s="56">
        <f t="shared" si="42"/>
        <v>340200.17293570383</v>
      </c>
      <c r="R72" s="56">
        <f t="shared" ref="R72" si="43">SUM(R66,R70,R71)</f>
        <v>400114.73479908076</v>
      </c>
    </row>
    <row r="73" spans="1:18">
      <c r="F73" s="31"/>
      <c r="G73" s="52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</row>
    <row r="74" spans="1:18">
      <c r="D74" s="5" t="s">
        <v>198</v>
      </c>
      <c r="F74" s="53"/>
      <c r="G74" s="51"/>
      <c r="H74" s="28">
        <f>H72-H56</f>
        <v>1.9999999996798579E-2</v>
      </c>
      <c r="I74" s="54">
        <f>I72-I56</f>
        <v>0</v>
      </c>
      <c r="J74" s="54">
        <f t="shared" ref="J74:Q74" si="44">J72-J56</f>
        <v>0</v>
      </c>
      <c r="K74" s="54">
        <f t="shared" si="44"/>
        <v>0</v>
      </c>
      <c r="L74" s="54">
        <f t="shared" si="44"/>
        <v>0</v>
      </c>
      <c r="M74" s="54">
        <f t="shared" si="44"/>
        <v>0</v>
      </c>
      <c r="N74" s="54">
        <f t="shared" si="44"/>
        <v>0</v>
      </c>
      <c r="O74" s="54">
        <f t="shared" si="44"/>
        <v>0</v>
      </c>
      <c r="P74" s="54">
        <f t="shared" si="44"/>
        <v>0</v>
      </c>
      <c r="Q74" s="54">
        <f t="shared" si="44"/>
        <v>0</v>
      </c>
      <c r="R74" s="54">
        <f t="shared" ref="R74" si="45">R72-R56</f>
        <v>0</v>
      </c>
    </row>
    <row r="75" spans="1:18">
      <c r="F75" s="27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</row>
    <row r="76" spans="1:18" ht="21">
      <c r="A76" s="23" t="s">
        <v>81</v>
      </c>
      <c r="B76" s="24"/>
      <c r="C76" s="24"/>
      <c r="D76" s="24"/>
      <c r="E76" s="24"/>
      <c r="F76" s="59"/>
      <c r="G76" s="24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</row>
    <row r="77" spans="1:18">
      <c r="F77" s="27"/>
      <c r="H77" s="28"/>
      <c r="I77" s="28"/>
      <c r="J77" s="28"/>
      <c r="K77" s="28"/>
      <c r="L77" s="28"/>
      <c r="M77" s="28"/>
      <c r="N77" s="28"/>
      <c r="O77" s="28"/>
      <c r="P77" s="28"/>
      <c r="Q77" s="28"/>
    </row>
    <row r="78" spans="1:18">
      <c r="C78" s="5" t="s">
        <v>200</v>
      </c>
      <c r="F78" s="27"/>
      <c r="H78" s="28"/>
      <c r="I78" s="28"/>
      <c r="J78" s="28"/>
      <c r="K78" s="28"/>
      <c r="L78" s="28"/>
      <c r="M78" s="28"/>
      <c r="N78" s="28"/>
      <c r="O78" s="28"/>
      <c r="P78" s="28"/>
      <c r="Q78" s="28"/>
    </row>
    <row r="79" spans="1:18">
      <c r="D79" t="s">
        <v>168</v>
      </c>
      <c r="F79" s="27" t="s">
        <v>156</v>
      </c>
      <c r="H79" s="29">
        <f>SUM('HISTORICAL INFORMATION'!H106,'HISTORICAL INFORMATION'!H132)</f>
        <v>5755.1</v>
      </c>
      <c r="I79" s="29">
        <f>SUM('HISTORICAL INFORMATION'!I106,'HISTORICAL INFORMATION'!I132)</f>
        <v>6863.6600000000008</v>
      </c>
      <c r="J79" s="29">
        <f>SUM('HISTORICAL INFORMATION'!J106,'HISTORICAL INFORMATION'!J132)</f>
        <v>8771.74</v>
      </c>
      <c r="K79" s="29">
        <f>SUM('HISTORICAL INFORMATION'!K106,'HISTORICAL INFORMATION'!K132)</f>
        <v>5755.51</v>
      </c>
      <c r="L79" s="29">
        <f>SUM('HISTORICAL INFORMATION'!L106,'HISTORICAL INFORMATION'!L132)</f>
        <v>16942.53</v>
      </c>
      <c r="M79" s="28">
        <f t="shared" ref="M79:R79" si="46">M38</f>
        <v>18193.542945168847</v>
      </c>
      <c r="N79" s="28">
        <f t="shared" si="46"/>
        <v>23677.610999529345</v>
      </c>
      <c r="O79" s="28">
        <f t="shared" si="46"/>
        <v>30145.143972043054</v>
      </c>
      <c r="P79" s="28">
        <f t="shared" si="46"/>
        <v>37570.05520509513</v>
      </c>
      <c r="Q79" s="28">
        <f t="shared" si="46"/>
        <v>45895.880829769667</v>
      </c>
      <c r="R79" s="28">
        <f t="shared" si="46"/>
        <v>55038.716058460544</v>
      </c>
    </row>
    <row r="80" spans="1:18">
      <c r="D80" t="s">
        <v>201</v>
      </c>
      <c r="F80" s="27" t="s">
        <v>156</v>
      </c>
      <c r="H80" s="29">
        <f>'HISTORICAL INFORMATION'!H108</f>
        <v>418.8</v>
      </c>
      <c r="I80" s="29">
        <f>'HISTORICAL INFORMATION'!I108</f>
        <v>1008.02</v>
      </c>
      <c r="J80" s="29">
        <f>'HISTORICAL INFORMATION'!J108</f>
        <v>1234.24</v>
      </c>
      <c r="K80" s="29">
        <f>'HISTORICAL INFORMATION'!K108</f>
        <v>1605.52</v>
      </c>
      <c r="L80" s="29">
        <f>'HISTORICAL INFORMATION'!L108</f>
        <v>2662.14</v>
      </c>
      <c r="M80" s="28">
        <f t="shared" ref="M80:R80" si="47">-M119</f>
        <v>3887.8954202508762</v>
      </c>
      <c r="N80" s="28">
        <f t="shared" si="47"/>
        <v>4696.5956585404601</v>
      </c>
      <c r="O80" s="28">
        <f t="shared" si="47"/>
        <v>5480.6642573812496</v>
      </c>
      <c r="P80" s="28">
        <f t="shared" si="47"/>
        <v>6236.5666540663569</v>
      </c>
      <c r="Q80" s="28">
        <f t="shared" si="47"/>
        <v>6957.8951379743339</v>
      </c>
      <c r="R80" s="28">
        <f t="shared" si="47"/>
        <v>7636.9785450988456</v>
      </c>
    </row>
    <row r="81" spans="3:18">
      <c r="D81" t="s">
        <v>202</v>
      </c>
      <c r="F81" s="27" t="s">
        <v>156</v>
      </c>
      <c r="H81" s="29">
        <f>'HISTORICAL INFORMATION'!H119-'HISTORICAL INFORMATION'!H108</f>
        <v>382.81</v>
      </c>
      <c r="I81" s="29">
        <f>'HISTORICAL INFORMATION'!I119-'HISTORICAL INFORMATION'!I108</f>
        <v>356.28999999999974</v>
      </c>
      <c r="J81" s="29">
        <f>'HISTORICAL INFORMATION'!J119-'HISTORICAL INFORMATION'!J108</f>
        <v>175.10000000000014</v>
      </c>
      <c r="K81" s="29">
        <f>'HISTORICAL INFORMATION'!K119-'HISTORICAL INFORMATION'!K108</f>
        <v>3373.6999999999994</v>
      </c>
      <c r="L81" s="29">
        <f>'HISTORICAL INFORMATION'!L119-'HISTORICAL INFORMATION'!L108</f>
        <v>-769.79999999999927</v>
      </c>
      <c r="M81" s="28">
        <f t="shared" ref="M81:R81" si="48">-M34-M35</f>
        <v>-1225.4410618647826</v>
      </c>
      <c r="N81" s="28">
        <f t="shared" si="48"/>
        <v>-1608.0303686632587</v>
      </c>
      <c r="O81" s="28">
        <f t="shared" si="48"/>
        <v>-2051.4894210293796</v>
      </c>
      <c r="P81" s="28">
        <f t="shared" si="48"/>
        <v>-2554.0125622305691</v>
      </c>
      <c r="Q81" s="28">
        <f t="shared" si="48"/>
        <v>-3111.7481967108911</v>
      </c>
      <c r="R81" s="28">
        <f t="shared" si="48"/>
        <v>-3719.0573230382029</v>
      </c>
    </row>
    <row r="82" spans="3:18">
      <c r="D82" s="51" t="s">
        <v>203</v>
      </c>
      <c r="F82" s="27" t="s">
        <v>156</v>
      </c>
      <c r="H82" s="29">
        <f>'HISTORICAL INFORMATION'!H130</f>
        <v>-3760.6600000000017</v>
      </c>
      <c r="I82" s="29">
        <f>'HISTORICAL INFORMATION'!I130</f>
        <v>-9421.4499999999989</v>
      </c>
      <c r="J82" s="29">
        <f>'HISTORICAL INFORMATION'!J130</f>
        <v>-3628.08</v>
      </c>
      <c r="K82" s="29">
        <f>'HISTORICAL INFORMATION'!K130</f>
        <v>1782.24</v>
      </c>
      <c r="L82" s="29">
        <f>'HISTORICAL INFORMATION'!L130</f>
        <v>-7000.5999999999995</v>
      </c>
      <c r="M82" s="28">
        <f t="shared" ref="M82:R82" si="49">M114</f>
        <v>-9694.5684674385302</v>
      </c>
      <c r="N82" s="28">
        <f t="shared" si="49"/>
        <v>-11841.848828968527</v>
      </c>
      <c r="O82" s="28">
        <f t="shared" si="49"/>
        <v>-13725.880380455397</v>
      </c>
      <c r="P82" s="28">
        <f t="shared" si="49"/>
        <v>-15554.023506196405</v>
      </c>
      <c r="Q82" s="28">
        <f t="shared" si="49"/>
        <v>-17262.95260396212</v>
      </c>
      <c r="R82" s="28">
        <f t="shared" si="49"/>
        <v>-18797.344145870476</v>
      </c>
    </row>
    <row r="83" spans="3:18" ht="15" thickBot="1">
      <c r="D83" s="42" t="s">
        <v>204</v>
      </c>
      <c r="E83" s="43"/>
      <c r="F83" s="50" t="s">
        <v>156</v>
      </c>
      <c r="G83" s="42"/>
      <c r="H83" s="45">
        <f t="shared" ref="H83:Q83" si="50">SUM(H79:H82)</f>
        <v>2796.0499999999993</v>
      </c>
      <c r="I83" s="45">
        <f t="shared" si="50"/>
        <v>-1193.4799999999996</v>
      </c>
      <c r="J83" s="45">
        <f t="shared" si="50"/>
        <v>6553</v>
      </c>
      <c r="K83" s="45">
        <f t="shared" si="50"/>
        <v>12516.97</v>
      </c>
      <c r="L83" s="45">
        <f t="shared" si="50"/>
        <v>11834.27</v>
      </c>
      <c r="M83" s="45">
        <f t="shared" si="50"/>
        <v>11161.428836116411</v>
      </c>
      <c r="N83" s="45">
        <f t="shared" si="50"/>
        <v>14924.32746043802</v>
      </c>
      <c r="O83" s="45">
        <f t="shared" si="50"/>
        <v>19848.438427939531</v>
      </c>
      <c r="P83" s="45">
        <f t="shared" si="50"/>
        <v>25698.585790734513</v>
      </c>
      <c r="Q83" s="45">
        <f t="shared" si="50"/>
        <v>32479.075167070994</v>
      </c>
      <c r="R83" s="45">
        <f t="shared" ref="R83" si="51">SUM(R79:R82)</f>
        <v>40159.29313465071</v>
      </c>
    </row>
    <row r="84" spans="3:18">
      <c r="F84" s="27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</row>
    <row r="85" spans="3:18">
      <c r="C85" s="5" t="s">
        <v>205</v>
      </c>
      <c r="F85" s="27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</row>
    <row r="86" spans="3:18">
      <c r="D86" t="s">
        <v>206</v>
      </c>
      <c r="F86" s="27" t="s">
        <v>156</v>
      </c>
      <c r="H86" s="29">
        <f>'HISTORICAL INFORMATION'!H136</f>
        <v>-10711.48</v>
      </c>
      <c r="I86" s="29">
        <f>'HISTORICAL INFORMATION'!I136</f>
        <v>-3375.81</v>
      </c>
      <c r="J86" s="29">
        <f>'HISTORICAL INFORMATION'!J136</f>
        <v>-7834.94</v>
      </c>
      <c r="K86" s="29">
        <f>'HISTORICAL INFORMATION'!K136</f>
        <v>-31467.75</v>
      </c>
      <c r="L86" s="29">
        <f>'HISTORICAL INFORMATION'!L136</f>
        <v>-19464.29</v>
      </c>
      <c r="M86" s="28">
        <f t="shared" ref="M86:R86" si="52">-M118</f>
        <v>-17280.735126171738</v>
      </c>
      <c r="N86" s="28">
        <f t="shared" si="52"/>
        <v>-17681.512152358104</v>
      </c>
      <c r="O86" s="28">
        <f t="shared" si="52"/>
        <v>-17999.121842526572</v>
      </c>
      <c r="P86" s="28">
        <f t="shared" si="52"/>
        <v>-18182.44759102129</v>
      </c>
      <c r="Q86" s="28">
        <f t="shared" si="52"/>
        <v>-18204.15770592534</v>
      </c>
      <c r="R86" s="28">
        <f t="shared" si="52"/>
        <v>-18054.356622861003</v>
      </c>
    </row>
    <row r="87" spans="3:18">
      <c r="D87" s="61" t="s">
        <v>216</v>
      </c>
      <c r="F87" s="27" t="s">
        <v>156</v>
      </c>
      <c r="H87" s="29">
        <f>'HISTORICAL INFORMATION'!H138</f>
        <v>253.75</v>
      </c>
      <c r="I87" s="29">
        <f>'HISTORICAL INFORMATION'!I138</f>
        <v>0</v>
      </c>
      <c r="J87" s="29">
        <f>'HISTORICAL INFORMATION'!J138</f>
        <v>0</v>
      </c>
      <c r="K87" s="29">
        <f>'HISTORICAL INFORMATION'!K138</f>
        <v>0</v>
      </c>
      <c r="L87" s="29">
        <f>'HISTORICAL INFORMATION'!L138</f>
        <v>0</v>
      </c>
      <c r="M87" s="79">
        <f>'HISTORICAL INFORMATION'!M138</f>
        <v>0</v>
      </c>
      <c r="N87" s="79">
        <f>'HISTORICAL INFORMATION'!N138</f>
        <v>0</v>
      </c>
      <c r="O87" s="79">
        <f>'HISTORICAL INFORMATION'!O138</f>
        <v>0</v>
      </c>
      <c r="P87" s="79">
        <f>'HISTORICAL INFORMATION'!P138</f>
        <v>0</v>
      </c>
      <c r="Q87" s="79">
        <f>'HISTORICAL INFORMATION'!Q138</f>
        <v>0</v>
      </c>
      <c r="R87" s="79">
        <f>'HISTORICAL INFORMATION'!R138</f>
        <v>0</v>
      </c>
    </row>
    <row r="88" spans="3:18">
      <c r="D88" t="s">
        <v>207</v>
      </c>
      <c r="F88" s="27" t="s">
        <v>156</v>
      </c>
      <c r="H88" s="29">
        <f>SUM('HISTORICAL INFORMATION'!H135,'HISTORICAL INFORMATION'!H141)</f>
        <v>317.69</v>
      </c>
      <c r="I88" s="29">
        <f>SUM('HISTORICAL INFORMATION'!I135,'HISTORICAL INFORMATION'!I141)</f>
        <v>-8953.94</v>
      </c>
      <c r="J88" s="29">
        <f>SUM('HISTORICAL INFORMATION'!J135,'HISTORICAL INFORMATION'!J141)</f>
        <v>6117.9699999999993</v>
      </c>
      <c r="K88" s="29">
        <f>SUM('HISTORICAL INFORMATION'!K135,'HISTORICAL INFORMATION'!K141)</f>
        <v>-5300.68</v>
      </c>
      <c r="L88" s="29">
        <f>SUM('HISTORICAL INFORMATION'!L135,'HISTORICAL INFORMATION'!L141)</f>
        <v>-4009.65</v>
      </c>
      <c r="M88" s="28">
        <f t="shared" ref="M88:R88" si="53">L54-M54</f>
        <v>0</v>
      </c>
      <c r="N88" s="28">
        <f t="shared" si="53"/>
        <v>0</v>
      </c>
      <c r="O88" s="28">
        <f t="shared" si="53"/>
        <v>0</v>
      </c>
      <c r="P88" s="28">
        <f t="shared" si="53"/>
        <v>0</v>
      </c>
      <c r="Q88" s="28">
        <f t="shared" si="53"/>
        <v>0</v>
      </c>
      <c r="R88" s="28">
        <f t="shared" si="53"/>
        <v>0</v>
      </c>
    </row>
    <row r="89" spans="3:18">
      <c r="D89" t="s">
        <v>139</v>
      </c>
      <c r="F89" s="27" t="s">
        <v>156</v>
      </c>
      <c r="H89" s="29">
        <f>'HISTORICAL INFORMATION'!H140</f>
        <v>0</v>
      </c>
      <c r="I89" s="29" t="str">
        <f>'HISTORICAL INFORMATION'!I140</f>
        <v>-</v>
      </c>
      <c r="J89" s="29">
        <f>'HISTORICAL INFORMATION'!J140</f>
        <v>-1805.35</v>
      </c>
      <c r="K89" s="29">
        <f>'HISTORICAL INFORMATION'!K140</f>
        <v>0</v>
      </c>
      <c r="L89" s="29">
        <f>'HISTORICAL INFORMATION'!L140</f>
        <v>0</v>
      </c>
      <c r="M89" s="28"/>
      <c r="N89" s="28"/>
      <c r="O89" s="28"/>
      <c r="P89" s="28"/>
      <c r="Q89" s="28"/>
      <c r="R89" s="28"/>
    </row>
    <row r="90" spans="3:18">
      <c r="D90" t="s">
        <v>140</v>
      </c>
      <c r="F90" s="27" t="s">
        <v>156</v>
      </c>
      <c r="H90" s="29">
        <f>'HISTORICAL INFORMATION'!H142</f>
        <v>0</v>
      </c>
      <c r="I90" s="29">
        <f>'HISTORICAL INFORMATION'!I142</f>
        <v>0</v>
      </c>
      <c r="J90" s="29">
        <f>'HISTORICAL INFORMATION'!J142</f>
        <v>0</v>
      </c>
      <c r="K90" s="29">
        <f>'HISTORICAL INFORMATION'!K142</f>
        <v>0</v>
      </c>
      <c r="L90" s="29">
        <f>'HISTORICAL INFORMATION'!L142</f>
        <v>0</v>
      </c>
      <c r="M90" s="28"/>
      <c r="N90" s="28"/>
      <c r="O90" s="28"/>
      <c r="P90" s="28"/>
      <c r="Q90" s="28"/>
      <c r="R90" s="28"/>
    </row>
    <row r="91" spans="3:18">
      <c r="D91" t="s">
        <v>111</v>
      </c>
      <c r="F91" s="27" t="s">
        <v>156</v>
      </c>
      <c r="H91" s="29">
        <f>'HISTORICAL INFORMATION'!H143</f>
        <v>0</v>
      </c>
      <c r="I91" s="29">
        <f>'HISTORICAL INFORMATION'!I143</f>
        <v>0</v>
      </c>
      <c r="J91" s="29">
        <f>'HISTORICAL INFORMATION'!J143</f>
        <v>0.03</v>
      </c>
      <c r="K91" s="29">
        <f>'HISTORICAL INFORMATION'!K143</f>
        <v>0</v>
      </c>
      <c r="L91" s="29">
        <f>'HISTORICAL INFORMATION'!L143</f>
        <v>0.04</v>
      </c>
      <c r="M91" s="28"/>
      <c r="N91" s="28"/>
      <c r="O91" s="28"/>
      <c r="P91" s="28"/>
      <c r="Q91" s="28"/>
      <c r="R91" s="28"/>
    </row>
    <row r="92" spans="3:18">
      <c r="D92" t="s">
        <v>112</v>
      </c>
      <c r="F92" s="27" t="s">
        <v>156</v>
      </c>
      <c r="H92" s="29">
        <f>'HISTORICAL INFORMATION'!H144</f>
        <v>19.53</v>
      </c>
      <c r="I92" s="29">
        <f>'HISTORICAL INFORMATION'!I144</f>
        <v>258.18</v>
      </c>
      <c r="J92" s="29">
        <f>'HISTORICAL INFORMATION'!J144</f>
        <v>217.89</v>
      </c>
      <c r="K92" s="29">
        <f>'HISTORICAL INFORMATION'!K144</f>
        <v>229.08</v>
      </c>
      <c r="L92" s="29">
        <f>'HISTORICAL INFORMATION'!L144</f>
        <v>1079.58</v>
      </c>
      <c r="M92" s="28">
        <f t="shared" ref="M92:R92" si="54">M35</f>
        <v>1328.9506618647827</v>
      </c>
      <c r="N92" s="28">
        <f t="shared" si="54"/>
        <v>1711.5399686632588</v>
      </c>
      <c r="O92" s="28">
        <f t="shared" si="54"/>
        <v>2154.9990210293795</v>
      </c>
      <c r="P92" s="28">
        <f t="shared" si="54"/>
        <v>2657.5221622305689</v>
      </c>
      <c r="Q92" s="28">
        <f t="shared" si="54"/>
        <v>3215.2577967108909</v>
      </c>
      <c r="R92" s="28">
        <f t="shared" si="54"/>
        <v>3822.5669230382027</v>
      </c>
    </row>
    <row r="93" spans="3:18" ht="15" thickBot="1">
      <c r="D93" s="42" t="s">
        <v>208</v>
      </c>
      <c r="E93" s="43"/>
      <c r="F93" s="50" t="s">
        <v>156</v>
      </c>
      <c r="G93" s="42"/>
      <c r="H93" s="45">
        <f t="shared" ref="H93:Q93" si="55">SUM(H86:H92)</f>
        <v>-10120.509999999998</v>
      </c>
      <c r="I93" s="45">
        <f t="shared" si="55"/>
        <v>-12071.57</v>
      </c>
      <c r="J93" s="45">
        <f t="shared" si="55"/>
        <v>-3304.4</v>
      </c>
      <c r="K93" s="45">
        <f t="shared" si="55"/>
        <v>-36539.35</v>
      </c>
      <c r="L93" s="45">
        <f t="shared" si="55"/>
        <v>-22394.32</v>
      </c>
      <c r="M93" s="45">
        <f t="shared" si="55"/>
        <v>-15951.784464306955</v>
      </c>
      <c r="N93" s="45">
        <f t="shared" si="55"/>
        <v>-15969.972183694845</v>
      </c>
      <c r="O93" s="45">
        <f t="shared" si="55"/>
        <v>-15844.122821497192</v>
      </c>
      <c r="P93" s="45">
        <f t="shared" si="55"/>
        <v>-15524.925428790721</v>
      </c>
      <c r="Q93" s="45">
        <f t="shared" si="55"/>
        <v>-14988.899909214448</v>
      </c>
      <c r="R93" s="45">
        <f t="shared" ref="R93" si="56">SUM(R86:R92)</f>
        <v>-14231.789699822801</v>
      </c>
    </row>
    <row r="94" spans="3:18"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</row>
    <row r="95" spans="3:18">
      <c r="C95" s="5" t="s">
        <v>209</v>
      </c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</row>
    <row r="96" spans="3:18">
      <c r="D96" t="s">
        <v>210</v>
      </c>
      <c r="F96" s="27" t="s">
        <v>156</v>
      </c>
      <c r="H96" s="29">
        <f>SUM('HISTORICAL INFORMATION'!H147,'HISTORICAL INFORMATION'!H148,'HISTORICAL INFORMATION'!H150)</f>
        <v>7721.63</v>
      </c>
      <c r="I96" s="29">
        <f>SUM('HISTORICAL INFORMATION'!I147,'HISTORICAL INFORMATION'!I148,'HISTORICAL INFORMATION'!I150)</f>
        <v>-13579.16</v>
      </c>
      <c r="J96" s="29">
        <f>SUM('HISTORICAL INFORMATION'!J147,'HISTORICAL INFORMATION'!J148,'HISTORICAL INFORMATION'!J150)</f>
        <v>275.64</v>
      </c>
      <c r="K96" s="29">
        <f>SUM('HISTORICAL INFORMATION'!K147,'HISTORICAL INFORMATION'!K148,'HISTORICAL INFORMATION'!K150)</f>
        <v>21807.75</v>
      </c>
      <c r="L96" s="29">
        <f>SUM('HISTORICAL INFORMATION'!L147,'HISTORICAL INFORMATION'!L148,'HISTORICAL INFORMATION'!L150)</f>
        <v>-20879.870000000003</v>
      </c>
      <c r="M96" s="28">
        <f t="shared" ref="M96:R96" si="57">M124</f>
        <v>0</v>
      </c>
      <c r="N96" s="28">
        <f t="shared" si="57"/>
        <v>0</v>
      </c>
      <c r="O96" s="28">
        <f t="shared" si="57"/>
        <v>0</v>
      </c>
      <c r="P96" s="28">
        <f t="shared" si="57"/>
        <v>0</v>
      </c>
      <c r="Q96" s="28">
        <f t="shared" si="57"/>
        <v>0</v>
      </c>
      <c r="R96" s="28">
        <f t="shared" si="57"/>
        <v>0</v>
      </c>
    </row>
    <row r="97" spans="1:18">
      <c r="D97" t="s">
        <v>211</v>
      </c>
      <c r="F97" s="27" t="s">
        <v>156</v>
      </c>
      <c r="H97" s="29">
        <f>SUM('HISTORICAL INFORMATION'!H153,'HISTORICAL INFORMATION'!H154,'HISTORICAL INFORMATION'!H155)</f>
        <v>0</v>
      </c>
      <c r="I97" s="29">
        <f>SUM('HISTORICAL INFORMATION'!I153,'HISTORICAL INFORMATION'!I154,'HISTORICAL INFORMATION'!I155)</f>
        <v>28150.32</v>
      </c>
      <c r="J97" s="29">
        <f>SUM('HISTORICAL INFORMATION'!J153,'HISTORICAL INFORMATION'!J154,'HISTORICAL INFORMATION'!J155)</f>
        <v>-165.84</v>
      </c>
      <c r="K97" s="29">
        <f>SUM('HISTORICAL INFORMATION'!K153,'HISTORICAL INFORMATION'!K154,'HISTORICAL INFORMATION'!K155)</f>
        <v>5294.63</v>
      </c>
      <c r="L97" s="29">
        <f>SUM('HISTORICAL INFORMATION'!L153,'HISTORICAL INFORMATION'!L154,'HISTORICAL INFORMATION'!L155)</f>
        <v>48839.53</v>
      </c>
      <c r="M97" s="28"/>
      <c r="N97" s="28"/>
      <c r="O97" s="28"/>
      <c r="P97" s="28"/>
      <c r="Q97" s="28"/>
      <c r="R97" s="28"/>
    </row>
    <row r="98" spans="1:18">
      <c r="D98" t="s">
        <v>88</v>
      </c>
      <c r="F98" s="27" t="s">
        <v>156</v>
      </c>
      <c r="H98" s="29">
        <f>SUM('HISTORICAL INFORMATION'!H149)</f>
        <v>-510.8</v>
      </c>
      <c r="I98" s="29">
        <f>SUM('HISTORICAL INFORMATION'!I149)</f>
        <v>-544.91</v>
      </c>
      <c r="J98" s="29">
        <f>SUM('HISTORICAL INFORMATION'!J149)</f>
        <v>-241.23</v>
      </c>
      <c r="K98" s="29">
        <f>SUM('HISTORICAL INFORMATION'!K149)</f>
        <v>-594.03</v>
      </c>
      <c r="L98" s="29">
        <f>SUM('HISTORICAL INFORMATION'!L149)</f>
        <v>-619.79</v>
      </c>
      <c r="M98" s="28">
        <f t="shared" ref="M98:R98" si="58">M126</f>
        <v>-103.50959999999999</v>
      </c>
      <c r="N98" s="28">
        <f t="shared" si="58"/>
        <v>-103.50959999999999</v>
      </c>
      <c r="O98" s="28">
        <f t="shared" si="58"/>
        <v>-103.50959999999999</v>
      </c>
      <c r="P98" s="28">
        <f t="shared" si="58"/>
        <v>-103.50959999999999</v>
      </c>
      <c r="Q98" s="28">
        <f t="shared" si="58"/>
        <v>-103.50959999999999</v>
      </c>
      <c r="R98" s="28">
        <f t="shared" si="58"/>
        <v>-103.50959999999999</v>
      </c>
    </row>
    <row r="99" spans="1:18">
      <c r="D99" t="s">
        <v>212</v>
      </c>
      <c r="F99" s="27" t="s">
        <v>156</v>
      </c>
      <c r="H99" s="29">
        <f>SUM('HISTORICAL INFORMATION'!H152)</f>
        <v>0</v>
      </c>
      <c r="I99" s="29">
        <f>SUM('HISTORICAL INFORMATION'!I152)</f>
        <v>0</v>
      </c>
      <c r="J99" s="29">
        <f>SUM('HISTORICAL INFORMATION'!J152)</f>
        <v>-1093.57</v>
      </c>
      <c r="K99" s="29">
        <f>SUM('HISTORICAL INFORMATION'!K152)</f>
        <v>-1093.1099999999999</v>
      </c>
      <c r="L99" s="29">
        <f>SUM('HISTORICAL INFORMATION'!L152)</f>
        <v>-1227.83</v>
      </c>
      <c r="M99" s="28">
        <f t="shared" ref="M99:R99" si="59">-M38*M16</f>
        <v>-2621.4332869871319</v>
      </c>
      <c r="N99" s="28">
        <f t="shared" si="59"/>
        <v>-3411.610251920772</v>
      </c>
      <c r="O99" s="28">
        <f t="shared" si="59"/>
        <v>-4343.4906597077734</v>
      </c>
      <c r="P99" s="28">
        <f t="shared" si="59"/>
        <v>-5413.3157904097552</v>
      </c>
      <c r="Q99" s="28">
        <f t="shared" si="59"/>
        <v>-6612.9499957951266</v>
      </c>
      <c r="R99" s="28">
        <f t="shared" si="59"/>
        <v>-7930.3037777473774</v>
      </c>
    </row>
    <row r="100" spans="1:18">
      <c r="D100" t="s">
        <v>118</v>
      </c>
      <c r="F100" s="27" t="s">
        <v>156</v>
      </c>
      <c r="H100" s="29">
        <f>SUM('HISTORICAL INFORMATION'!H151)</f>
        <v>0</v>
      </c>
      <c r="I100" s="29">
        <f>SUM('HISTORICAL INFORMATION'!I151)</f>
        <v>0</v>
      </c>
      <c r="J100" s="29">
        <f>SUM('HISTORICAL INFORMATION'!J151)</f>
        <v>0</v>
      </c>
      <c r="K100" s="29">
        <f>SUM('HISTORICAL INFORMATION'!K151)</f>
        <v>-1478.88</v>
      </c>
      <c r="L100" s="79">
        <f>SUM('HISTORICAL INFORMATION'!L151)</f>
        <v>0</v>
      </c>
      <c r="M100" s="79">
        <f>SUM('HISTORICAL INFORMATION'!M151)</f>
        <v>0</v>
      </c>
      <c r="N100" s="79">
        <f>SUM('HISTORICAL INFORMATION'!N151)</f>
        <v>0</v>
      </c>
      <c r="O100" s="79">
        <f>SUM('HISTORICAL INFORMATION'!O151)</f>
        <v>0</v>
      </c>
      <c r="P100" s="79">
        <f>SUM('HISTORICAL INFORMATION'!P151)</f>
        <v>0</v>
      </c>
      <c r="Q100" s="79">
        <f>SUM('HISTORICAL INFORMATION'!Q151)</f>
        <v>0</v>
      </c>
      <c r="R100" s="79">
        <f>SUM('HISTORICAL INFORMATION'!R151)</f>
        <v>0</v>
      </c>
    </row>
    <row r="101" spans="1:18" ht="15" thickBot="1">
      <c r="D101" s="42" t="s">
        <v>217</v>
      </c>
      <c r="E101" s="43"/>
      <c r="F101" s="50" t="s">
        <v>156</v>
      </c>
      <c r="G101" s="42"/>
      <c r="H101" s="45">
        <f t="shared" ref="H101:Q101" si="60">SUM(H96:H100)</f>
        <v>7210.83</v>
      </c>
      <c r="I101" s="45">
        <f t="shared" si="60"/>
        <v>14026.25</v>
      </c>
      <c r="J101" s="45">
        <f t="shared" si="60"/>
        <v>-1225</v>
      </c>
      <c r="K101" s="45">
        <f t="shared" si="60"/>
        <v>23936.36</v>
      </c>
      <c r="L101" s="45">
        <f t="shared" si="60"/>
        <v>26112.039999999994</v>
      </c>
      <c r="M101" s="45">
        <f t="shared" si="60"/>
        <v>-2724.9428869871317</v>
      </c>
      <c r="N101" s="45">
        <f t="shared" si="60"/>
        <v>-3515.1198519207719</v>
      </c>
      <c r="O101" s="45">
        <f t="shared" si="60"/>
        <v>-4447.0002597077737</v>
      </c>
      <c r="P101" s="45">
        <f t="shared" si="60"/>
        <v>-5516.8253904097555</v>
      </c>
      <c r="Q101" s="45">
        <f t="shared" si="60"/>
        <v>-6716.4595957951269</v>
      </c>
      <c r="R101" s="45">
        <f t="shared" ref="R101" si="61">SUM(R96:R100)</f>
        <v>-8033.8133777473777</v>
      </c>
    </row>
    <row r="102" spans="1:18"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</row>
    <row r="103" spans="1:18">
      <c r="D103" t="s">
        <v>127</v>
      </c>
      <c r="F103" s="27" t="s">
        <v>156</v>
      </c>
      <c r="H103" s="29">
        <f t="shared" ref="H103:Q103" si="62">SUM(H83,H93,H101)</f>
        <v>-113.6299999999992</v>
      </c>
      <c r="I103" s="29">
        <f t="shared" si="62"/>
        <v>761.20000000000073</v>
      </c>
      <c r="J103" s="29">
        <f t="shared" si="62"/>
        <v>2023.6</v>
      </c>
      <c r="K103" s="29">
        <f t="shared" si="62"/>
        <v>-86.019999999996799</v>
      </c>
      <c r="L103" s="29">
        <f t="shared" si="62"/>
        <v>15551.989999999994</v>
      </c>
      <c r="M103" s="79">
        <f t="shared" si="62"/>
        <v>-7515.2985151776757</v>
      </c>
      <c r="N103" s="79">
        <f t="shared" si="62"/>
        <v>-4560.7645751775963</v>
      </c>
      <c r="O103" s="79">
        <f t="shared" si="62"/>
        <v>-442.68465326543537</v>
      </c>
      <c r="P103" s="79">
        <f t="shared" si="62"/>
        <v>4656.8349715340364</v>
      </c>
      <c r="Q103" s="79">
        <f t="shared" si="62"/>
        <v>10773.715662061419</v>
      </c>
      <c r="R103" s="79">
        <f t="shared" ref="R103" si="63">SUM(R83,R93,R101)</f>
        <v>17893.69005708053</v>
      </c>
    </row>
    <row r="104" spans="1:18">
      <c r="D104" t="s">
        <v>213</v>
      </c>
      <c r="F104" s="27" t="s">
        <v>156</v>
      </c>
      <c r="H104" s="29">
        <f>SUM('HISTORICAL INFORMATION'!H158:H159)</f>
        <v>382.22</v>
      </c>
      <c r="I104" s="29">
        <f>SUM('HISTORICAL INFORMATION'!I158:I159)</f>
        <v>268.45999999999998</v>
      </c>
      <c r="J104" s="29">
        <f>SUM('HISTORICAL INFORMATION'!J158:J159)</f>
        <v>1029.6600000000001</v>
      </c>
      <c r="K104" s="29">
        <f>SUM('HISTORICAL INFORMATION'!K158:K159)</f>
        <v>3056.46</v>
      </c>
      <c r="L104" s="29">
        <f>SUM('HISTORICAL INFORMATION'!L158:L159)</f>
        <v>2970.44</v>
      </c>
      <c r="M104" s="28">
        <f t="shared" ref="M104:R104" si="64">L105</f>
        <v>18522.429999999993</v>
      </c>
      <c r="N104" s="28">
        <f t="shared" si="64"/>
        <v>11007.131484822317</v>
      </c>
      <c r="O104" s="28">
        <f t="shared" si="64"/>
        <v>6446.3669096447211</v>
      </c>
      <c r="P104" s="28">
        <f t="shared" si="64"/>
        <v>6003.6822563792857</v>
      </c>
      <c r="Q104" s="28">
        <f t="shared" si="64"/>
        <v>10660.517227913322</v>
      </c>
      <c r="R104" s="28">
        <f t="shared" si="64"/>
        <v>21434.232889974741</v>
      </c>
    </row>
    <row r="105" spans="1:18" ht="15" thickBot="1">
      <c r="D105" s="42" t="s">
        <v>214</v>
      </c>
      <c r="E105" s="43"/>
      <c r="F105" s="50" t="s">
        <v>156</v>
      </c>
      <c r="G105" s="42"/>
      <c r="H105" s="45">
        <f t="shared" ref="H105:Q105" si="65">SUM(H103:H104)</f>
        <v>268.59000000000083</v>
      </c>
      <c r="I105" s="45">
        <f t="shared" si="65"/>
        <v>1029.6600000000008</v>
      </c>
      <c r="J105" s="45">
        <f t="shared" si="65"/>
        <v>3053.26</v>
      </c>
      <c r="K105" s="45">
        <f t="shared" si="65"/>
        <v>2970.4400000000032</v>
      </c>
      <c r="L105" s="45">
        <f t="shared" si="65"/>
        <v>18522.429999999993</v>
      </c>
      <c r="M105" s="45">
        <f t="shared" si="65"/>
        <v>11007.131484822317</v>
      </c>
      <c r="N105" s="45">
        <f t="shared" si="65"/>
        <v>6446.3669096447211</v>
      </c>
      <c r="O105" s="45">
        <f t="shared" si="65"/>
        <v>6003.6822563792857</v>
      </c>
      <c r="P105" s="45">
        <f t="shared" si="65"/>
        <v>10660.517227913322</v>
      </c>
      <c r="Q105" s="45">
        <f t="shared" si="65"/>
        <v>21434.232889974741</v>
      </c>
      <c r="R105" s="45">
        <f t="shared" ref="R105" si="66">SUM(R103:R104)</f>
        <v>39327.922947055267</v>
      </c>
    </row>
    <row r="106" spans="1:18"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</row>
    <row r="107" spans="1:18"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</row>
    <row r="108" spans="1:18" ht="21">
      <c r="A108" s="23" t="s">
        <v>218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</row>
    <row r="109" spans="1:18">
      <c r="C109" s="5" t="s">
        <v>219</v>
      </c>
      <c r="H109" s="28"/>
      <c r="I109" s="28"/>
      <c r="J109" s="28"/>
      <c r="K109" s="28"/>
      <c r="L109" s="28"/>
      <c r="M109" s="28"/>
      <c r="N109" s="28"/>
      <c r="O109" s="28"/>
      <c r="P109" s="28"/>
      <c r="Q109" s="28"/>
    </row>
    <row r="110" spans="1:18">
      <c r="D110" t="s">
        <v>220</v>
      </c>
      <c r="F110" s="27" t="s">
        <v>156</v>
      </c>
      <c r="H110" s="29">
        <f>'HISTORICAL INFORMATION'!H122</f>
        <v>-6416.98</v>
      </c>
      <c r="I110" s="29">
        <f>'HISTORICAL INFORMATION'!I122</f>
        <v>-4145.5</v>
      </c>
      <c r="J110" s="29">
        <f>'HISTORICAL INFORMATION'!J122</f>
        <v>-6442.66</v>
      </c>
      <c r="K110" s="29">
        <f>'HISTORICAL INFORMATION'!K122</f>
        <v>3000.27</v>
      </c>
      <c r="L110" s="29">
        <f>'HISTORICAL INFORMATION'!L122</f>
        <v>-8011.08</v>
      </c>
      <c r="M110" s="28">
        <f t="shared" ref="M110:R111" si="67">L47-M47</f>
        <v>-13969.865091771106</v>
      </c>
      <c r="N110" s="28">
        <f t="shared" si="67"/>
        <v>-12384.761950904314</v>
      </c>
      <c r="O110" s="28">
        <f t="shared" si="67"/>
        <v>-14355.170677629329</v>
      </c>
      <c r="P110" s="28">
        <f t="shared" si="67"/>
        <v>-16267.128662525894</v>
      </c>
      <c r="Q110" s="28">
        <f t="shared" si="67"/>
        <v>-18054.407015128003</v>
      </c>
      <c r="R110" s="28">
        <f t="shared" si="67"/>
        <v>-19659.145790337585</v>
      </c>
    </row>
    <row r="111" spans="1:18">
      <c r="D111" t="s">
        <v>179</v>
      </c>
      <c r="F111" s="27" t="s">
        <v>156</v>
      </c>
      <c r="H111" s="29">
        <f>'HISTORICAL INFORMATION'!H125</f>
        <v>-802.14</v>
      </c>
      <c r="I111" s="29">
        <f>'HISTORICAL INFORMATION'!I125</f>
        <v>-5180.78</v>
      </c>
      <c r="J111" s="29">
        <f>'HISTORICAL INFORMATION'!J125</f>
        <v>-700.21</v>
      </c>
      <c r="K111" s="29">
        <f>'HISTORICAL INFORMATION'!K125</f>
        <v>-3508.19</v>
      </c>
      <c r="L111" s="29">
        <f>'HISTORICAL INFORMATION'!L125</f>
        <v>-2320.61</v>
      </c>
      <c r="M111" s="28">
        <f t="shared" si="67"/>
        <v>-8143.3265503539224</v>
      </c>
      <c r="N111" s="28">
        <f t="shared" si="67"/>
        <v>-7524.6354776027838</v>
      </c>
      <c r="O111" s="28">
        <f t="shared" si="67"/>
        <v>-8721.8007900463199</v>
      </c>
      <c r="P111" s="28">
        <f t="shared" si="67"/>
        <v>-9883.4530641772872</v>
      </c>
      <c r="Q111" s="28">
        <f t="shared" si="67"/>
        <v>-10969.353475800403</v>
      </c>
      <c r="R111" s="28">
        <f t="shared" si="67"/>
        <v>-11944.347938196603</v>
      </c>
    </row>
    <row r="112" spans="1:18">
      <c r="D112" t="s">
        <v>221</v>
      </c>
      <c r="F112" s="27" t="s">
        <v>156</v>
      </c>
      <c r="H112" s="29">
        <f>'HISTORICAL INFORMATION'!H127</f>
        <v>3342.37</v>
      </c>
      <c r="I112" s="29">
        <f>'HISTORICAL INFORMATION'!I127</f>
        <v>3267.88</v>
      </c>
      <c r="J112" s="29">
        <f>'HISTORICAL INFORMATION'!J127</f>
        <v>2363.0100000000002</v>
      </c>
      <c r="K112" s="29">
        <f>'HISTORICAL INFORMATION'!K127</f>
        <v>2359.61</v>
      </c>
      <c r="L112" s="29">
        <f>'HISTORICAL INFORMATION'!L127</f>
        <v>2143.69</v>
      </c>
      <c r="M112" s="28">
        <f t="shared" ref="M112:R112" si="68">M61-L61</f>
        <v>12418.623174686498</v>
      </c>
      <c r="N112" s="28">
        <f t="shared" si="68"/>
        <v>8067.5485995385716</v>
      </c>
      <c r="O112" s="28">
        <f t="shared" si="68"/>
        <v>9351.0910872202512</v>
      </c>
      <c r="P112" s="28">
        <f t="shared" si="68"/>
        <v>10596.558220506777</v>
      </c>
      <c r="Q112" s="28">
        <f t="shared" si="68"/>
        <v>11760.807886966286</v>
      </c>
      <c r="R112" s="28">
        <f t="shared" si="68"/>
        <v>12806.149582663711</v>
      </c>
    </row>
    <row r="113" spans="1:18">
      <c r="D113" t="s">
        <v>222</v>
      </c>
      <c r="F113" s="27" t="s">
        <v>156</v>
      </c>
      <c r="H113" s="29">
        <f>SUM('HISTORICAL INFORMATION'!H123,'HISTORICAL INFORMATION'!H124,'HISTORICAL INFORMATION'!H126,'HISTORICAL INFORMATION'!H128,'HISTORICAL INFORMATION'!H129)</f>
        <v>116.09000000000006</v>
      </c>
      <c r="I113" s="29">
        <f>SUM('HISTORICAL INFORMATION'!I123,'HISTORICAL INFORMATION'!I124,'HISTORICAL INFORMATION'!I126,'HISTORICAL INFORMATION'!I128,'HISTORICAL INFORMATION'!I129)</f>
        <v>-3363.0499999999997</v>
      </c>
      <c r="J113" s="29">
        <f>SUM('HISTORICAL INFORMATION'!J123,'HISTORICAL INFORMATION'!J124,'HISTORICAL INFORMATION'!J126,'HISTORICAL INFORMATION'!J128,'HISTORICAL INFORMATION'!J129)</f>
        <v>1151.78</v>
      </c>
      <c r="K113" s="29">
        <f>SUM('HISTORICAL INFORMATION'!K123,'HISTORICAL INFORMATION'!K124,'HISTORICAL INFORMATION'!K126,'HISTORICAL INFORMATION'!K128,'HISTORICAL INFORMATION'!K129)</f>
        <v>-69.450000000000102</v>
      </c>
      <c r="L113" s="29">
        <f>SUM('HISTORICAL INFORMATION'!L123,'HISTORICAL INFORMATION'!L124,'HISTORICAL INFORMATION'!L126,'HISTORICAL INFORMATION'!L128,'HISTORICAL INFORMATION'!L129)</f>
        <v>1187.4000000000001</v>
      </c>
      <c r="M113" s="28">
        <f t="shared" ref="M113:R113" si="69">(L49-M49)+(M62-L62)</f>
        <v>0</v>
      </c>
      <c r="N113" s="28">
        <f t="shared" si="69"/>
        <v>0</v>
      </c>
      <c r="O113" s="28">
        <f t="shared" si="69"/>
        <v>0</v>
      </c>
      <c r="P113" s="28">
        <f t="shared" si="69"/>
        <v>0</v>
      </c>
      <c r="Q113" s="28">
        <f t="shared" si="69"/>
        <v>0</v>
      </c>
      <c r="R113" s="28">
        <f t="shared" si="69"/>
        <v>0</v>
      </c>
    </row>
    <row r="114" spans="1:18">
      <c r="D114" s="30" t="s">
        <v>131</v>
      </c>
      <c r="E114" s="30"/>
      <c r="F114" s="62" t="s">
        <v>156</v>
      </c>
      <c r="G114" s="30"/>
      <c r="H114" s="39">
        <f>SUM(H110:H113)</f>
        <v>-3760.66</v>
      </c>
      <c r="I114" s="39">
        <f t="shared" ref="I114:Q114" si="70">SUM(I110:I113)</f>
        <v>-9421.4499999999989</v>
      </c>
      <c r="J114" s="39">
        <f t="shared" si="70"/>
        <v>-3628.08</v>
      </c>
      <c r="K114" s="39">
        <f t="shared" si="70"/>
        <v>1782.24</v>
      </c>
      <c r="L114" s="39">
        <f t="shared" si="70"/>
        <v>-7000.6</v>
      </c>
      <c r="M114" s="39">
        <f t="shared" si="70"/>
        <v>-9694.5684674385302</v>
      </c>
      <c r="N114" s="39">
        <f t="shared" si="70"/>
        <v>-11841.848828968527</v>
      </c>
      <c r="O114" s="39">
        <f t="shared" si="70"/>
        <v>-13725.880380455397</v>
      </c>
      <c r="P114" s="39">
        <f t="shared" si="70"/>
        <v>-15554.023506196405</v>
      </c>
      <c r="Q114" s="39">
        <f t="shared" si="70"/>
        <v>-17262.95260396212</v>
      </c>
      <c r="R114" s="39">
        <f t="shared" ref="R114" si="71">SUM(R110:R113)</f>
        <v>-18797.344145870476</v>
      </c>
    </row>
    <row r="115" spans="1:18"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</row>
    <row r="116" spans="1:18">
      <c r="C116" s="5" t="s">
        <v>223</v>
      </c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</row>
    <row r="117" spans="1:18">
      <c r="D117" t="s">
        <v>224</v>
      </c>
      <c r="F117" s="27" t="s">
        <v>156</v>
      </c>
      <c r="H117" s="29"/>
      <c r="I117" s="29">
        <f t="shared" ref="I117:R117" si="72">H120</f>
        <v>16080.54</v>
      </c>
      <c r="J117" s="29">
        <f t="shared" si="72"/>
        <v>18889.98</v>
      </c>
      <c r="K117" s="29">
        <f t="shared" si="72"/>
        <v>26842.57</v>
      </c>
      <c r="L117" s="29">
        <f t="shared" si="72"/>
        <v>49578.35</v>
      </c>
      <c r="M117" s="78">
        <f t="shared" si="72"/>
        <v>64387.22</v>
      </c>
      <c r="N117" s="78">
        <f t="shared" si="72"/>
        <v>77780.059705920867</v>
      </c>
      <c r="O117" s="78">
        <f t="shared" si="72"/>
        <v>90764.976199738507</v>
      </c>
      <c r="P117" s="78">
        <f t="shared" si="72"/>
        <v>103283.43378488382</v>
      </c>
      <c r="Q117" s="78">
        <f t="shared" si="72"/>
        <v>115229.31472183876</v>
      </c>
      <c r="R117" s="78">
        <f t="shared" si="72"/>
        <v>126475.57728978976</v>
      </c>
    </row>
    <row r="118" spans="1:18">
      <c r="D118" t="s">
        <v>225</v>
      </c>
      <c r="F118" s="27" t="s">
        <v>156</v>
      </c>
      <c r="H118" s="29"/>
      <c r="I118" s="29">
        <f>I120-I117-I119</f>
        <v>3817.4599999999987</v>
      </c>
      <c r="J118" s="29">
        <f>J120-J117-J119</f>
        <v>9186.83</v>
      </c>
      <c r="K118" s="29">
        <f>K120-K117-K119</f>
        <v>24341.3</v>
      </c>
      <c r="L118" s="29">
        <f>L120-L117-L119</f>
        <v>17471.010000000002</v>
      </c>
      <c r="M118" s="28">
        <f t="shared" ref="M118:R118" si="73">(M25-L25)/M20</f>
        <v>17280.735126171738</v>
      </c>
      <c r="N118" s="28">
        <f t="shared" si="73"/>
        <v>17681.512152358104</v>
      </c>
      <c r="O118" s="28">
        <f t="shared" si="73"/>
        <v>17999.121842526572</v>
      </c>
      <c r="P118" s="28">
        <f t="shared" si="73"/>
        <v>18182.44759102129</v>
      </c>
      <c r="Q118" s="28">
        <f t="shared" si="73"/>
        <v>18204.15770592534</v>
      </c>
      <c r="R118" s="28">
        <f t="shared" si="73"/>
        <v>18054.356622861003</v>
      </c>
    </row>
    <row r="119" spans="1:18">
      <c r="D119" t="s">
        <v>226</v>
      </c>
      <c r="F119" s="27" t="s">
        <v>156</v>
      </c>
      <c r="H119" s="29">
        <f>-H80</f>
        <v>-418.8</v>
      </c>
      <c r="I119" s="29">
        <f>-I80</f>
        <v>-1008.02</v>
      </c>
      <c r="J119" s="29">
        <f>-J80</f>
        <v>-1234.24</v>
      </c>
      <c r="K119" s="29">
        <f>-K80</f>
        <v>-1605.52</v>
      </c>
      <c r="L119" s="29">
        <f>-L80</f>
        <v>-2662.14</v>
      </c>
      <c r="M119" s="28">
        <f t="shared" ref="M119:R119" si="74">-M117*M12</f>
        <v>-3887.8954202508762</v>
      </c>
      <c r="N119" s="28">
        <f t="shared" si="74"/>
        <v>-4696.5956585404601</v>
      </c>
      <c r="O119" s="28">
        <f t="shared" si="74"/>
        <v>-5480.6642573812496</v>
      </c>
      <c r="P119" s="28">
        <f t="shared" si="74"/>
        <v>-6236.5666540663569</v>
      </c>
      <c r="Q119" s="28">
        <f t="shared" si="74"/>
        <v>-6957.8951379743339</v>
      </c>
      <c r="R119" s="28">
        <f t="shared" si="74"/>
        <v>-7636.9785450988456</v>
      </c>
    </row>
    <row r="120" spans="1:18">
      <c r="D120" s="30" t="s">
        <v>227</v>
      </c>
      <c r="E120" s="31"/>
      <c r="F120" s="62" t="s">
        <v>156</v>
      </c>
      <c r="G120" s="30"/>
      <c r="H120" s="39">
        <f>H52</f>
        <v>16080.54</v>
      </c>
      <c r="I120" s="39">
        <f>I52</f>
        <v>18889.98</v>
      </c>
      <c r="J120" s="39">
        <f>J52</f>
        <v>26842.57</v>
      </c>
      <c r="K120" s="39">
        <f>K52</f>
        <v>49578.35</v>
      </c>
      <c r="L120" s="39">
        <f>L52</f>
        <v>64387.22</v>
      </c>
      <c r="M120" s="39">
        <f t="shared" ref="M120:R120" si="75">SUM(M117:M119)</f>
        <v>77780.059705920867</v>
      </c>
      <c r="N120" s="39">
        <f t="shared" si="75"/>
        <v>90764.976199738507</v>
      </c>
      <c r="O120" s="39">
        <f t="shared" si="75"/>
        <v>103283.43378488382</v>
      </c>
      <c r="P120" s="39">
        <f t="shared" si="75"/>
        <v>115229.31472183876</v>
      </c>
      <c r="Q120" s="39">
        <f t="shared" si="75"/>
        <v>126475.57728978976</v>
      </c>
      <c r="R120" s="39">
        <f t="shared" si="75"/>
        <v>136892.95536755191</v>
      </c>
    </row>
    <row r="121" spans="1:18"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</row>
    <row r="122" spans="1:18">
      <c r="C122" s="5" t="s">
        <v>228</v>
      </c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</row>
    <row r="123" spans="1:18">
      <c r="D123" t="s">
        <v>229</v>
      </c>
      <c r="F123" s="27" t="s">
        <v>156</v>
      </c>
      <c r="H123" s="29"/>
      <c r="I123" s="29">
        <f t="shared" ref="I123:R123" si="76">H125</f>
        <v>13663.57</v>
      </c>
      <c r="J123" s="29">
        <f t="shared" si="76"/>
        <v>84.41</v>
      </c>
      <c r="K123" s="29">
        <f t="shared" si="76"/>
        <v>360.03</v>
      </c>
      <c r="L123" s="29">
        <f t="shared" si="76"/>
        <v>21664.660000000003</v>
      </c>
      <c r="M123" s="28">
        <f t="shared" si="76"/>
        <v>1293.8699999999999</v>
      </c>
      <c r="N123" s="28">
        <f t="shared" si="76"/>
        <v>1293.8699999999999</v>
      </c>
      <c r="O123" s="28">
        <f t="shared" si="76"/>
        <v>1293.8699999999999</v>
      </c>
      <c r="P123" s="28">
        <f t="shared" si="76"/>
        <v>1293.8699999999999</v>
      </c>
      <c r="Q123" s="28">
        <f t="shared" si="76"/>
        <v>1293.8699999999999</v>
      </c>
      <c r="R123" s="28">
        <f t="shared" si="76"/>
        <v>1293.8699999999999</v>
      </c>
    </row>
    <row r="124" spans="1:18">
      <c r="D124" t="s">
        <v>230</v>
      </c>
      <c r="F124" s="27" t="s">
        <v>156</v>
      </c>
      <c r="H124" s="29"/>
      <c r="I124" s="29">
        <f>I125-I123</f>
        <v>-13579.16</v>
      </c>
      <c r="J124" s="29">
        <f>J125-J123</f>
        <v>275.62</v>
      </c>
      <c r="K124" s="29">
        <f>K125-K123</f>
        <v>21304.630000000005</v>
      </c>
      <c r="L124" s="29">
        <f>L125-L123</f>
        <v>-20370.790000000005</v>
      </c>
      <c r="M124" s="28">
        <f>0</f>
        <v>0</v>
      </c>
      <c r="N124" s="28">
        <f>0</f>
        <v>0</v>
      </c>
      <c r="O124" s="28">
        <f>0</f>
        <v>0</v>
      </c>
      <c r="P124" s="28">
        <f>0</f>
        <v>0</v>
      </c>
      <c r="Q124" s="28">
        <f>0</f>
        <v>0</v>
      </c>
      <c r="R124" s="28">
        <f>0</f>
        <v>0</v>
      </c>
    </row>
    <row r="125" spans="1:18">
      <c r="D125" s="30" t="s">
        <v>231</v>
      </c>
      <c r="E125" s="31"/>
      <c r="F125" s="62" t="s">
        <v>156</v>
      </c>
      <c r="G125" s="30"/>
      <c r="H125" s="39">
        <f>H64</f>
        <v>13663.57</v>
      </c>
      <c r="I125" s="39">
        <f>I64</f>
        <v>84.41</v>
      </c>
      <c r="J125" s="39">
        <f>J64</f>
        <v>360.03</v>
      </c>
      <c r="K125" s="39">
        <f>K64</f>
        <v>21664.660000000003</v>
      </c>
      <c r="L125" s="39">
        <f>L64</f>
        <v>1293.8699999999999</v>
      </c>
      <c r="M125" s="39">
        <f t="shared" ref="M125:R125" si="77">SUM(M123:M124)</f>
        <v>1293.8699999999999</v>
      </c>
      <c r="N125" s="39">
        <f t="shared" si="77"/>
        <v>1293.8699999999999</v>
      </c>
      <c r="O125" s="39">
        <f t="shared" si="77"/>
        <v>1293.8699999999999</v>
      </c>
      <c r="P125" s="39">
        <f t="shared" si="77"/>
        <v>1293.8699999999999</v>
      </c>
      <c r="Q125" s="39">
        <f t="shared" si="77"/>
        <v>1293.8699999999999</v>
      </c>
      <c r="R125" s="39">
        <f t="shared" si="77"/>
        <v>1293.8699999999999</v>
      </c>
    </row>
    <row r="126" spans="1:18">
      <c r="D126" t="s">
        <v>232</v>
      </c>
      <c r="F126" s="27" t="s">
        <v>156</v>
      </c>
      <c r="H126" s="29">
        <f>H34</f>
        <v>-561.84</v>
      </c>
      <c r="I126" s="29">
        <f>I34</f>
        <v>-640.73</v>
      </c>
      <c r="J126" s="29">
        <f>J34</f>
        <v>-241.23</v>
      </c>
      <c r="K126" s="29">
        <f>K34</f>
        <v>-594.03</v>
      </c>
      <c r="L126" s="29">
        <f>L34</f>
        <v>-621.84</v>
      </c>
      <c r="M126" s="28">
        <f t="shared" ref="M126:R126" si="78">-M125*M13</f>
        <v>-103.50959999999999</v>
      </c>
      <c r="N126" s="28">
        <f t="shared" si="78"/>
        <v>-103.50959999999999</v>
      </c>
      <c r="O126" s="28">
        <f t="shared" si="78"/>
        <v>-103.50959999999999</v>
      </c>
      <c r="P126" s="28">
        <f t="shared" si="78"/>
        <v>-103.50959999999999</v>
      </c>
      <c r="Q126" s="28">
        <f t="shared" si="78"/>
        <v>-103.50959999999999</v>
      </c>
      <c r="R126" s="28">
        <f t="shared" si="78"/>
        <v>-103.50959999999999</v>
      </c>
    </row>
    <row r="127" spans="1:18">
      <c r="H127" s="28"/>
      <c r="I127" s="28"/>
      <c r="J127" s="28"/>
      <c r="K127" s="28"/>
      <c r="L127" s="28"/>
      <c r="M127" s="28"/>
      <c r="N127" s="28"/>
      <c r="O127" s="28"/>
      <c r="P127" s="28"/>
      <c r="Q127" s="28"/>
    </row>
    <row r="128" spans="1:18" ht="21">
      <c r="A128" s="23" t="s">
        <v>357</v>
      </c>
      <c r="B128" s="24"/>
      <c r="C128" s="24"/>
      <c r="D128" s="24"/>
      <c r="E128" s="24"/>
      <c r="F128" s="24"/>
      <c r="G128" s="24"/>
      <c r="H128" s="49"/>
      <c r="I128" s="49"/>
      <c r="J128" s="28"/>
      <c r="K128" s="28"/>
      <c r="L128" s="28"/>
      <c r="M128" s="28"/>
      <c r="N128" s="28"/>
      <c r="O128" s="28"/>
      <c r="P128" s="28"/>
      <c r="Q128" s="28"/>
    </row>
    <row r="130" spans="4:18">
      <c r="D130" s="150" t="s">
        <v>358</v>
      </c>
    </row>
    <row r="131" spans="4:18">
      <c r="D131" s="27" t="s">
        <v>359</v>
      </c>
      <c r="E131" s="151">
        <v>46204</v>
      </c>
    </row>
    <row r="132" spans="4:18">
      <c r="D132" s="27" t="s">
        <v>360</v>
      </c>
      <c r="E132" s="153">
        <v>46477</v>
      </c>
    </row>
    <row r="133" spans="4:18">
      <c r="D133" s="27" t="s">
        <v>340</v>
      </c>
      <c r="E133" s="152">
        <v>0.26175599999999999</v>
      </c>
    </row>
    <row r="134" spans="4:18">
      <c r="D134" s="27" t="s">
        <v>361</v>
      </c>
      <c r="E134" s="154">
        <f>COMP!T16</f>
        <v>59.443279346700074</v>
      </c>
    </row>
    <row r="135" spans="4:18">
      <c r="D135" s="27" t="s">
        <v>362</v>
      </c>
      <c r="E135" s="162">
        <v>0.06</v>
      </c>
    </row>
    <row r="136" spans="4:18">
      <c r="D136" s="27" t="s">
        <v>363</v>
      </c>
      <c r="E136" s="163">
        <f>WACC!H43</f>
        <v>7.1563352406702932E-2</v>
      </c>
    </row>
    <row r="137" spans="4:18">
      <c r="D137" s="27" t="s">
        <v>364</v>
      </c>
      <c r="E137" s="155">
        <f>COMP!I16</f>
        <v>821.43254999999999</v>
      </c>
    </row>
    <row r="138" spans="4:18">
      <c r="D138" s="27" t="s">
        <v>365</v>
      </c>
      <c r="E138" s="155">
        <f>COMP!H16</f>
        <v>3567.5</v>
      </c>
    </row>
    <row r="141" spans="4:18">
      <c r="D141" s="150" t="s">
        <v>366</v>
      </c>
      <c r="E141" s="7"/>
      <c r="F141" s="7"/>
      <c r="G141" s="7"/>
      <c r="H141" s="156" t="s">
        <v>367</v>
      </c>
      <c r="I141" s="156">
        <f>YEAR(E132)</f>
        <v>2027</v>
      </c>
      <c r="J141" s="156">
        <f>I141+1</f>
        <v>2028</v>
      </c>
      <c r="K141" s="156">
        <f t="shared" ref="K141:L141" si="79">J141+1</f>
        <v>2029</v>
      </c>
      <c r="L141" s="156">
        <f t="shared" si="79"/>
        <v>2030</v>
      </c>
      <c r="M141" s="156" t="s">
        <v>368</v>
      </c>
      <c r="P141" s="12" t="s">
        <v>379</v>
      </c>
      <c r="Q141" s="7"/>
      <c r="R141" s="7"/>
    </row>
    <row r="142" spans="4:18">
      <c r="D142" t="s">
        <v>369</v>
      </c>
      <c r="H142" s="105">
        <f>E131</f>
        <v>46204</v>
      </c>
      <c r="I142" s="157">
        <f>DATE(YEAR($E$132)+I143,MONTH($E$132),DAY($E$132))</f>
        <v>46477</v>
      </c>
      <c r="J142" s="157">
        <f t="shared" ref="J142:M142" si="80">DATE(YEAR($E$132)+J143,MONTH($E$132),DAY($E$132))</f>
        <v>46843</v>
      </c>
      <c r="K142" s="157">
        <f t="shared" si="80"/>
        <v>47208</v>
      </c>
      <c r="L142" s="157">
        <f t="shared" si="80"/>
        <v>47573</v>
      </c>
      <c r="M142" s="157">
        <f t="shared" si="80"/>
        <v>47938</v>
      </c>
      <c r="N142" s="157">
        <f>M142</f>
        <v>47938</v>
      </c>
      <c r="P142" t="s">
        <v>298</v>
      </c>
      <c r="R142" s="47">
        <f>(I146+I149)*E134</f>
        <v>2128200.8046258851</v>
      </c>
    </row>
    <row r="143" spans="4:18">
      <c r="D143" t="s">
        <v>370</v>
      </c>
      <c r="I143">
        <v>0</v>
      </c>
      <c r="J143">
        <v>1</v>
      </c>
      <c r="K143">
        <v>2</v>
      </c>
      <c r="L143">
        <v>3</v>
      </c>
      <c r="M143">
        <v>4</v>
      </c>
      <c r="P143" t="s">
        <v>380</v>
      </c>
      <c r="R143" s="47">
        <f>M152*(1+E135)/(E136-E135)</f>
        <v>2216371.9066949529</v>
      </c>
    </row>
    <row r="144" spans="4:18">
      <c r="D144" t="s">
        <v>371</v>
      </c>
      <c r="I144">
        <f>YEARFRAC(H142,I142)</f>
        <v>0.75</v>
      </c>
      <c r="J144">
        <f t="shared" ref="J144:L144" si="81">YEARFRAC(I142,J142)</f>
        <v>1</v>
      </c>
      <c r="K144">
        <f t="shared" si="81"/>
        <v>1</v>
      </c>
      <c r="L144">
        <f t="shared" si="81"/>
        <v>1</v>
      </c>
      <c r="M144">
        <f>YEARFRAC(L142,M142)</f>
        <v>1</v>
      </c>
      <c r="N144" s="133">
        <v>1</v>
      </c>
      <c r="P144" s="5" t="s">
        <v>304</v>
      </c>
      <c r="R144" s="164">
        <f>AVERAGE(R142:R143)</f>
        <v>2172286.355660419</v>
      </c>
    </row>
    <row r="146" spans="4:15">
      <c r="D146" t="s">
        <v>159</v>
      </c>
      <c r="I146" s="28">
        <f t="shared" ref="I146:M146" si="82">N33</f>
        <v>31105.614919601703</v>
      </c>
      <c r="J146" s="28">
        <f t="shared" si="82"/>
        <v>39597.879135819436</v>
      </c>
      <c r="K146" s="28">
        <f t="shared" si="82"/>
        <v>49353.819670693832</v>
      </c>
      <c r="L146" s="28">
        <f t="shared" si="82"/>
        <v>60299.276069521438</v>
      </c>
      <c r="M146" s="28">
        <f t="shared" si="82"/>
        <v>72323.962147709972</v>
      </c>
    </row>
    <row r="147" spans="4:15">
      <c r="D147" t="s">
        <v>372</v>
      </c>
      <c r="I147" s="28">
        <f>-I146*$E$133</f>
        <v>-8142.0813388952629</v>
      </c>
      <c r="J147" s="28">
        <f t="shared" ref="J147:M147" si="83">-J146*$E$133</f>
        <v>-10364.982451075552</v>
      </c>
      <c r="K147" s="28">
        <f t="shared" si="83"/>
        <v>-12918.658421722133</v>
      </c>
      <c r="L147" s="28">
        <f t="shared" si="83"/>
        <v>-15783.697306853654</v>
      </c>
      <c r="M147" s="28">
        <f t="shared" si="83"/>
        <v>-18931.231035935969</v>
      </c>
    </row>
    <row r="148" spans="4:15">
      <c r="D148" s="31" t="s">
        <v>373</v>
      </c>
      <c r="E148" s="31"/>
      <c r="F148" s="31"/>
      <c r="G148" s="31"/>
      <c r="H148" s="31"/>
      <c r="I148" s="159">
        <f t="shared" ref="I148:M148" si="84">SUM(I146:I147)</f>
        <v>22963.53358070644</v>
      </c>
      <c r="J148" s="159">
        <f t="shared" si="84"/>
        <v>29232.896684743886</v>
      </c>
      <c r="K148" s="159">
        <f t="shared" si="84"/>
        <v>36435.161248971701</v>
      </c>
      <c r="L148" s="159">
        <f t="shared" si="84"/>
        <v>44515.578762667785</v>
      </c>
      <c r="M148" s="159">
        <f t="shared" si="84"/>
        <v>53392.731111774003</v>
      </c>
      <c r="N148" s="31"/>
    </row>
    <row r="149" spans="4:15">
      <c r="D149" s="160" t="s">
        <v>374</v>
      </c>
      <c r="I149" s="28">
        <f t="shared" ref="I149:M149" si="85">N80</f>
        <v>4696.5956585404601</v>
      </c>
      <c r="J149" s="28">
        <f t="shared" si="85"/>
        <v>5480.6642573812496</v>
      </c>
      <c r="K149" s="28">
        <f t="shared" si="85"/>
        <v>6236.5666540663569</v>
      </c>
      <c r="L149" s="28">
        <f t="shared" si="85"/>
        <v>6957.8951379743339</v>
      </c>
      <c r="M149" s="28">
        <f t="shared" si="85"/>
        <v>7636.9785450988456</v>
      </c>
    </row>
    <row r="150" spans="4:15">
      <c r="D150" s="160" t="s">
        <v>375</v>
      </c>
      <c r="I150" s="28">
        <f>-N118</f>
        <v>-17681.512152358104</v>
      </c>
      <c r="J150" s="28">
        <f t="shared" ref="J150:M150" si="86">-O118</f>
        <v>-17999.121842526572</v>
      </c>
      <c r="K150" s="28">
        <f t="shared" si="86"/>
        <v>-18182.44759102129</v>
      </c>
      <c r="L150" s="28">
        <f t="shared" si="86"/>
        <v>-18204.15770592534</v>
      </c>
      <c r="M150" s="28">
        <f t="shared" si="86"/>
        <v>-18054.356622861003</v>
      </c>
    </row>
    <row r="151" spans="4:15">
      <c r="D151" s="160" t="s">
        <v>376</v>
      </c>
      <c r="I151" s="28">
        <f t="shared" ref="I151:M151" si="87">N114</f>
        <v>-11841.848828968527</v>
      </c>
      <c r="J151" s="28">
        <f t="shared" si="87"/>
        <v>-13725.880380455397</v>
      </c>
      <c r="K151" s="28">
        <f t="shared" si="87"/>
        <v>-15554.023506196405</v>
      </c>
      <c r="L151" s="28">
        <f t="shared" si="87"/>
        <v>-17262.95260396212</v>
      </c>
      <c r="M151" s="28">
        <f t="shared" si="87"/>
        <v>-18797.344145870476</v>
      </c>
    </row>
    <row r="152" spans="4:15">
      <c r="D152" s="161" t="s">
        <v>377</v>
      </c>
      <c r="E152" s="31"/>
      <c r="F152" s="31"/>
      <c r="G152" s="31"/>
      <c r="H152" s="31"/>
      <c r="I152" s="39">
        <f t="shared" ref="I152:M152" si="88">SUM(I148:I151)</f>
        <v>-1863.2317420797299</v>
      </c>
      <c r="J152" s="39">
        <f t="shared" si="88"/>
        <v>2988.5587191431659</v>
      </c>
      <c r="K152" s="39">
        <f t="shared" si="88"/>
        <v>8935.2568058203651</v>
      </c>
      <c r="L152" s="39">
        <f t="shared" si="88"/>
        <v>16006.363590754656</v>
      </c>
      <c r="M152" s="39">
        <f t="shared" si="88"/>
        <v>24178.008888141369</v>
      </c>
      <c r="N152" s="165">
        <f>R144</f>
        <v>2172286.355660419</v>
      </c>
    </row>
    <row r="154" spans="4:15">
      <c r="D154" s="5" t="s">
        <v>378</v>
      </c>
      <c r="H154">
        <v>0</v>
      </c>
      <c r="I154" s="41">
        <f t="shared" ref="I154:M154" si="89">I152*I144</f>
        <v>-1397.4238065597974</v>
      </c>
      <c r="J154" s="41">
        <f t="shared" si="89"/>
        <v>2988.5587191431659</v>
      </c>
      <c r="K154" s="41">
        <f t="shared" si="89"/>
        <v>8935.2568058203651</v>
      </c>
      <c r="L154" s="41">
        <f t="shared" si="89"/>
        <v>16006.363590754656</v>
      </c>
      <c r="M154" s="41">
        <f t="shared" si="89"/>
        <v>24178.008888141369</v>
      </c>
      <c r="N154" s="164">
        <f>N152*N144</f>
        <v>2172286.355660419</v>
      </c>
    </row>
    <row r="157" spans="4:15">
      <c r="D157" s="12" t="s">
        <v>382</v>
      </c>
      <c r="E157" s="7"/>
      <c r="H157" s="12" t="s">
        <v>381</v>
      </c>
      <c r="I157" s="7"/>
      <c r="J157" s="7"/>
      <c r="K157" s="7"/>
      <c r="M157" s="12" t="s">
        <v>383</v>
      </c>
      <c r="N157" s="7"/>
      <c r="O157" s="7"/>
    </row>
    <row r="158" spans="4:15">
      <c r="D158" t="s">
        <v>384</v>
      </c>
      <c r="E158" s="28">
        <f>XNPV(E136,H154:N154,H142:N142)</f>
        <v>1602740.855784781</v>
      </c>
      <c r="H158" t="s">
        <v>289</v>
      </c>
      <c r="K158" s="28">
        <f>E138*E137</f>
        <v>2930460.6221249998</v>
      </c>
      <c r="M158" t="s">
        <v>365</v>
      </c>
      <c r="O158" s="28">
        <f>K164</f>
        <v>3567.4999999999995</v>
      </c>
    </row>
    <row r="159" spans="4:15">
      <c r="D159" s="37" t="s">
        <v>385</v>
      </c>
      <c r="E159" s="28">
        <f>L45+L46+L54</f>
        <v>25621.58</v>
      </c>
      <c r="H159" t="s">
        <v>389</v>
      </c>
      <c r="K159" s="28">
        <f>-E160</f>
        <v>1293.8699999999999</v>
      </c>
      <c r="M159" t="s">
        <v>392</v>
      </c>
      <c r="O159" s="28">
        <f>E164</f>
        <v>1979.4971550430782</v>
      </c>
    </row>
    <row r="160" spans="4:15">
      <c r="D160" s="37" t="s">
        <v>386</v>
      </c>
      <c r="E160" s="28">
        <f>-L125</f>
        <v>-1293.8699999999999</v>
      </c>
      <c r="H160" t="s">
        <v>390</v>
      </c>
      <c r="K160" s="28">
        <f>-E161</f>
        <v>1045.17</v>
      </c>
      <c r="M160" t="s">
        <v>393</v>
      </c>
      <c r="O160" s="129">
        <f>O159/O158-1</f>
        <v>-0.4451304400720173</v>
      </c>
    </row>
    <row r="161" spans="1:18">
      <c r="D161" s="37" t="s">
        <v>388</v>
      </c>
      <c r="E161" s="28">
        <f>-L71</f>
        <v>-1045.17</v>
      </c>
      <c r="H161" t="s">
        <v>391</v>
      </c>
      <c r="K161" s="28">
        <f>-E159</f>
        <v>-25621.58</v>
      </c>
    </row>
    <row r="162" spans="1:18">
      <c r="D162" s="166" t="s">
        <v>309</v>
      </c>
      <c r="E162" s="159">
        <f>SUM(E158:E161)</f>
        <v>1626023.3957847811</v>
      </c>
      <c r="H162" s="31" t="s">
        <v>384</v>
      </c>
      <c r="I162" s="31"/>
      <c r="J162" s="31"/>
      <c r="K162" s="159">
        <f>SUM(K158:K161)</f>
        <v>2907178.0821249997</v>
      </c>
    </row>
    <row r="163" spans="1:18">
      <c r="D163" s="37"/>
      <c r="E163" s="28"/>
      <c r="K163" s="28"/>
    </row>
    <row r="164" spans="1:18">
      <c r="D164" s="37" t="s">
        <v>387</v>
      </c>
      <c r="E164" s="49">
        <f>E162/E137</f>
        <v>1979.4971550430782</v>
      </c>
      <c r="H164" s="37" t="s">
        <v>387</v>
      </c>
      <c r="K164" s="49">
        <f>K158/E137</f>
        <v>3567.4999999999995</v>
      </c>
    </row>
    <row r="165" spans="1:18">
      <c r="D165" s="37"/>
      <c r="K165" s="54"/>
    </row>
    <row r="166" spans="1:18">
      <c r="D166" s="37"/>
    </row>
    <row r="167" spans="1:18">
      <c r="D167" s="37"/>
    </row>
    <row r="168" spans="1:18" ht="20" customHeight="1">
      <c r="A168" s="23" t="s">
        <v>394</v>
      </c>
      <c r="B168" s="24"/>
      <c r="C168" s="24"/>
      <c r="D168" s="167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</row>
    <row r="170" spans="1:18" ht="18.5">
      <c r="H170" s="24"/>
      <c r="I170" s="24"/>
      <c r="J170" s="128" t="s">
        <v>395</v>
      </c>
      <c r="K170" s="24"/>
      <c r="L170" s="24"/>
      <c r="M170" s="24"/>
      <c r="N170" s="24"/>
    </row>
    <row r="172" spans="1:18">
      <c r="J172" s="7"/>
      <c r="K172" s="7"/>
      <c r="L172" s="12" t="s">
        <v>396</v>
      </c>
      <c r="M172" s="7"/>
      <c r="N172" s="7"/>
    </row>
    <row r="173" spans="1:18" ht="18.5" customHeight="1">
      <c r="H173" s="168"/>
      <c r="I173" s="169">
        <f>E164</f>
        <v>1979.4971550430782</v>
      </c>
      <c r="J173" s="170">
        <v>50</v>
      </c>
      <c r="K173" s="170">
        <v>55</v>
      </c>
      <c r="L173" s="170">
        <v>59.4</v>
      </c>
      <c r="M173" s="170">
        <v>65</v>
      </c>
      <c r="N173" s="170">
        <v>70</v>
      </c>
    </row>
    <row r="174" spans="1:18" ht="17.5" customHeight="1">
      <c r="H174" s="185" t="s">
        <v>363</v>
      </c>
      <c r="I174" s="171">
        <v>5.1999999999999998E-2</v>
      </c>
      <c r="J174" s="174">
        <f t="dataTable" ref="J174:N178" dt2D="1" dtr="1" r1="E134" r2="E136" ca="1"/>
        <v>-597.48998439114359</v>
      </c>
      <c r="K174" s="174">
        <v>-511.84772825137992</v>
      </c>
      <c r="L174" s="174">
        <v>-436.48254284838805</v>
      </c>
      <c r="M174" s="174">
        <v>-340.56321597185269</v>
      </c>
      <c r="N174" s="174">
        <v>-254.92095983208918</v>
      </c>
    </row>
    <row r="175" spans="1:18" ht="17.5" customHeight="1">
      <c r="H175" s="185"/>
      <c r="I175" s="171">
        <v>6.2E-2</v>
      </c>
      <c r="J175" s="174">
        <v>6756.842524219981</v>
      </c>
      <c r="K175" s="178">
        <v>6838.7207823760309</v>
      </c>
      <c r="L175" s="178">
        <v>6910.7736495533545</v>
      </c>
      <c r="M175" s="178">
        <v>7002.477298688128</v>
      </c>
      <c r="N175" s="174">
        <v>7084.355556844178</v>
      </c>
    </row>
    <row r="176" spans="1:18" ht="17.5" customHeight="1">
      <c r="H176" s="185"/>
      <c r="I176" s="171">
        <v>7.1563351999999997E-2</v>
      </c>
      <c r="J176" s="174">
        <v>1831.3049679179469</v>
      </c>
      <c r="K176" s="178">
        <v>1909.7693547890153</v>
      </c>
      <c r="L176" s="181">
        <v>1978.8180152355558</v>
      </c>
      <c r="M176" s="178">
        <v>2066.6981285311531</v>
      </c>
      <c r="N176" s="174">
        <v>2145.1625154022217</v>
      </c>
    </row>
    <row r="177" spans="8:14" ht="17.5" customHeight="1">
      <c r="H177" s="185"/>
      <c r="I177" s="171">
        <v>8.2000000000000003E-2</v>
      </c>
      <c r="J177" s="174">
        <v>1310.3806169418756</v>
      </c>
      <c r="K177" s="180">
        <v>1385.3139431954655</v>
      </c>
      <c r="L177" s="178">
        <v>1451.2552702986245</v>
      </c>
      <c r="M177" s="178">
        <v>1535.1805957026454</v>
      </c>
      <c r="N177" s="174">
        <v>1610.1139219562353</v>
      </c>
    </row>
    <row r="178" spans="8:14" ht="17.5" customHeight="1">
      <c r="H178" s="185"/>
      <c r="I178" s="171">
        <v>9.1999999999999998E-2</v>
      </c>
      <c r="J178" s="175">
        <v>1109.9966869078398</v>
      </c>
      <c r="K178" s="174">
        <v>1181.7255968570287</v>
      </c>
      <c r="L178" s="174">
        <v>1244.8470376123146</v>
      </c>
      <c r="M178" s="174">
        <v>1325.1834167554059</v>
      </c>
      <c r="N178" s="174">
        <v>1396.9123267045948</v>
      </c>
    </row>
    <row r="181" spans="8:14">
      <c r="L181" s="5" t="s">
        <v>362</v>
      </c>
    </row>
    <row r="182" spans="8:14" ht="17.5" customHeight="1">
      <c r="H182" s="186" t="s">
        <v>363</v>
      </c>
      <c r="I182" s="28">
        <f>E164</f>
        <v>1979.4971550430782</v>
      </c>
      <c r="J182" s="172">
        <v>0.04</v>
      </c>
      <c r="K182" s="173">
        <v>0.05</v>
      </c>
      <c r="L182" s="173">
        <v>0.06</v>
      </c>
      <c r="M182" s="173">
        <v>7.0000000000000007E-2</v>
      </c>
      <c r="N182" s="173">
        <v>0.08</v>
      </c>
    </row>
    <row r="183" spans="8:14" ht="17.5" customHeight="1">
      <c r="H183" s="187"/>
      <c r="I183" s="176">
        <v>5.1999999999999998E-2</v>
      </c>
      <c r="J183" s="177">
        <f t="dataTable" ref="J183:N187" dt2D="1" dtr="1" r1="E135" r2="E136"/>
        <v>2099.4065897005494</v>
      </c>
      <c r="K183" s="54">
        <v>7169.702238440178</v>
      </c>
      <c r="L183" s="54">
        <v>-435.74123466925806</v>
      </c>
      <c r="M183" s="54">
        <v>409.3080401206779</v>
      </c>
      <c r="N183" s="54">
        <v>650.75069006065917</v>
      </c>
    </row>
    <row r="184" spans="8:14" ht="17.5" customHeight="1">
      <c r="H184" s="187"/>
      <c r="I184" s="176">
        <v>6.2E-2</v>
      </c>
      <c r="J184" s="177">
        <v>1573.0823143342625</v>
      </c>
      <c r="K184" s="179">
        <v>2017.9489862278861</v>
      </c>
      <c r="L184" s="179">
        <v>6911.4823770577414</v>
      </c>
      <c r="M184" s="179">
        <v>-428.81770918704279</v>
      </c>
      <c r="N184" s="54">
        <v>386.7711892845993</v>
      </c>
    </row>
    <row r="185" spans="8:14" ht="17.5" customHeight="1">
      <c r="H185" s="187"/>
      <c r="I185" s="171">
        <v>7.1563351999999997E-2</v>
      </c>
      <c r="J185" s="177">
        <v>1357.2051405084944</v>
      </c>
      <c r="K185" s="179">
        <v>1524.0572617946373</v>
      </c>
      <c r="L185" s="182">
        <v>1979.4971927161562</v>
      </c>
      <c r="M185" s="179">
        <v>8261.391190559556</v>
      </c>
      <c r="N185" s="54">
        <v>-348.6339667956309</v>
      </c>
    </row>
    <row r="186" spans="8:14" ht="17.5" customHeight="1">
      <c r="H186" s="187"/>
      <c r="I186" s="176">
        <v>8.2000000000000003E-2</v>
      </c>
      <c r="J186" s="177">
        <v>1214.8751573529564</v>
      </c>
      <c r="K186" s="179">
        <v>1296.3537819247144</v>
      </c>
      <c r="L186" s="179">
        <v>1451.9038833798886</v>
      </c>
      <c r="M186" s="179">
        <v>1866.7041539270201</v>
      </c>
      <c r="N186" s="54">
        <v>6429.5071299454576</v>
      </c>
    </row>
    <row r="187" spans="8:14" ht="17.5" customHeight="1">
      <c r="H187" s="187"/>
      <c r="I187" s="176">
        <v>9.1999999999999998E-2</v>
      </c>
      <c r="J187" s="177">
        <v>1118.3126833234637</v>
      </c>
      <c r="K187" s="54">
        <v>1166.7527710801394</v>
      </c>
      <c r="L187" s="54">
        <v>1245.4679136847367</v>
      </c>
      <c r="M187" s="54">
        <v>1395.7422768389681</v>
      </c>
      <c r="N187" s="54">
        <v>1796.4739119169183</v>
      </c>
    </row>
  </sheetData>
  <mergeCells count="2">
    <mergeCell ref="H174:H178"/>
    <mergeCell ref="H182:H187"/>
  </mergeCells>
  <pageMargins left="0.7" right="0.7" top="0.75" bottom="0.75" header="0.3" footer="0.3"/>
  <pageSetup orientation="portrait" r:id="rId1"/>
  <ignoredErrors>
    <ignoredError sqref="I26:L26 K29:L30 H26 J30 H61:L62 I46:L46 H104 I104:L104 J32:L32 J34:L34 J37:L37" formulaRange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SCENARIOS!$D$5:$D$7</xm:f>
          </x14:formula1>
          <xm:sqref>E7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showGridLines="0" workbookViewId="0">
      <selection activeCell="N5" sqref="N5"/>
    </sheetView>
  </sheetViews>
  <sheetFormatPr defaultColWidth="11.81640625" defaultRowHeight="14.5"/>
  <cols>
    <col min="1" max="3" width="1.36328125" customWidth="1"/>
    <col min="4" max="4" width="40.81640625" customWidth="1"/>
    <col min="5" max="6" width="12.81640625" customWidth="1"/>
    <col min="7" max="7" width="2.81640625" customWidth="1"/>
    <col min="8" max="8" width="11.81640625" customWidth="1"/>
  </cols>
  <sheetData>
    <row r="1" spans="1:13" ht="46">
      <c r="A1" s="17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</row>
    <row r="2" spans="1:13" ht="18.5">
      <c r="A2" s="3" t="s">
        <v>251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C4" s="5" t="s">
        <v>252</v>
      </c>
      <c r="E4" s="5" t="s">
        <v>257</v>
      </c>
      <c r="H4" s="12">
        <v>2026</v>
      </c>
      <c r="I4" s="12">
        <v>2027</v>
      </c>
      <c r="J4" s="12">
        <v>2028</v>
      </c>
      <c r="K4" s="12">
        <v>2029</v>
      </c>
      <c r="L4" s="12">
        <v>2030</v>
      </c>
      <c r="M4" s="12">
        <v>2031</v>
      </c>
    </row>
    <row r="5" spans="1:13">
      <c r="D5" t="s">
        <v>253</v>
      </c>
      <c r="E5" s="70">
        <f>AVERAGE(MODEL!H8:L8)</f>
        <v>0.3198758554208368</v>
      </c>
      <c r="F5" s="72"/>
      <c r="H5" s="71">
        <f>E5</f>
        <v>0.3198758554208368</v>
      </c>
      <c r="I5" s="71">
        <f>H5*(1-$E$8)</f>
        <v>0.2878882698787531</v>
      </c>
      <c r="J5" s="71">
        <f>I5*(1-$E$8)</f>
        <v>0.25909944289087777</v>
      </c>
      <c r="K5" s="71">
        <f>J5*(1-$E$8)</f>
        <v>0.23318949860179</v>
      </c>
      <c r="L5" s="71">
        <f>K5*(1-$E$8)</f>
        <v>0.20987054874161101</v>
      </c>
      <c r="M5" s="71">
        <f>L5*(1-$E$8)</f>
        <v>0.1888834938674499</v>
      </c>
    </row>
    <row r="6" spans="1:13">
      <c r="D6" t="s">
        <v>254</v>
      </c>
      <c r="E6" s="70">
        <v>0.35</v>
      </c>
      <c r="F6" s="72"/>
      <c r="H6" s="71">
        <f>E6</f>
        <v>0.35</v>
      </c>
      <c r="I6" s="71">
        <f t="shared" ref="I6:M7" si="0">H6*(1-$E$8)</f>
        <v>0.315</v>
      </c>
      <c r="J6" s="71">
        <f t="shared" si="0"/>
        <v>0.28350000000000003</v>
      </c>
      <c r="K6" s="71">
        <f t="shared" si="0"/>
        <v>0.25515000000000004</v>
      </c>
      <c r="L6" s="71">
        <f t="shared" si="0"/>
        <v>0.22963500000000003</v>
      </c>
      <c r="M6" s="71">
        <f t="shared" si="0"/>
        <v>0.20667150000000004</v>
      </c>
    </row>
    <row r="7" spans="1:13">
      <c r="D7" t="s">
        <v>255</v>
      </c>
      <c r="E7" s="70">
        <f>MIN(MODEL!I8:L8)</f>
        <v>0.16334419430078917</v>
      </c>
      <c r="F7" s="72"/>
      <c r="H7" s="71">
        <f>E7</f>
        <v>0.16334419430078917</v>
      </c>
      <c r="I7" s="71">
        <f t="shared" si="0"/>
        <v>0.14700977487071026</v>
      </c>
      <c r="J7" s="71">
        <f t="shared" si="0"/>
        <v>0.13230879738363924</v>
      </c>
      <c r="K7" s="71">
        <f t="shared" si="0"/>
        <v>0.11907791764527531</v>
      </c>
      <c r="L7" s="71">
        <f t="shared" si="0"/>
        <v>0.10717012588074779</v>
      </c>
      <c r="M7" s="71">
        <f t="shared" si="0"/>
        <v>9.6453113292673004E-2</v>
      </c>
    </row>
    <row r="8" spans="1:13">
      <c r="D8" t="s">
        <v>256</v>
      </c>
      <c r="E8" s="85">
        <v>0.1</v>
      </c>
      <c r="F8" s="72"/>
      <c r="H8" s="71"/>
      <c r="I8" s="71"/>
      <c r="J8" s="71"/>
      <c r="K8" s="71"/>
      <c r="L8" s="7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showGridLines="0" topLeftCell="I2" workbookViewId="0">
      <selection activeCell="T16" sqref="T16"/>
    </sheetView>
  </sheetViews>
  <sheetFormatPr defaultColWidth="11.81640625" defaultRowHeight="14.5"/>
  <cols>
    <col min="1" max="3" width="1.36328125" customWidth="1"/>
    <col min="4" max="4" width="40.81640625" customWidth="1"/>
    <col min="5" max="6" width="12.81640625" customWidth="1"/>
    <col min="7" max="7" width="2.81640625" customWidth="1"/>
    <col min="8" max="8" width="11.81640625" customWidth="1"/>
    <col min="10" max="10" width="12.7265625" bestFit="1" customWidth="1"/>
    <col min="13" max="13" width="12.7265625" bestFit="1" customWidth="1"/>
  </cols>
  <sheetData>
    <row r="1" spans="1:24" ht="46">
      <c r="A1" s="17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24" ht="18.5">
      <c r="A2" s="3" t="s">
        <v>263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24">
      <c r="S4" s="51"/>
      <c r="T4" s="51"/>
      <c r="U4" s="51"/>
    </row>
    <row r="5" spans="1:24">
      <c r="D5" s="59"/>
      <c r="E5" s="59"/>
      <c r="F5" s="59"/>
      <c r="G5" s="59"/>
      <c r="H5" s="100"/>
      <c r="I5" s="100"/>
      <c r="J5" s="101" t="s">
        <v>295</v>
      </c>
      <c r="K5" s="100"/>
      <c r="L5" s="100"/>
      <c r="M5" s="100"/>
      <c r="N5" s="59"/>
      <c r="O5" s="59"/>
      <c r="P5" s="97" t="s">
        <v>297</v>
      </c>
      <c r="Q5" s="59"/>
      <c r="R5" s="59"/>
      <c r="S5" s="100"/>
      <c r="T5" s="101" t="s">
        <v>302</v>
      </c>
      <c r="U5" s="100"/>
    </row>
    <row r="6" spans="1:24">
      <c r="D6" s="59"/>
      <c r="E6" s="59"/>
      <c r="F6" s="98"/>
      <c r="G6" s="98"/>
      <c r="H6" s="95" t="s">
        <v>267</v>
      </c>
      <c r="I6" s="95" t="s">
        <v>268</v>
      </c>
      <c r="J6" s="99" t="s">
        <v>289</v>
      </c>
      <c r="K6" s="99" t="s">
        <v>190</v>
      </c>
      <c r="L6" s="99" t="s">
        <v>293</v>
      </c>
      <c r="M6" s="99" t="s">
        <v>291</v>
      </c>
      <c r="N6" s="59"/>
      <c r="O6" s="102" t="s">
        <v>269</v>
      </c>
      <c r="P6" s="102" t="s">
        <v>158</v>
      </c>
      <c r="Q6" s="102" t="s">
        <v>296</v>
      </c>
      <c r="R6" s="59"/>
      <c r="S6" s="104" t="s">
        <v>299</v>
      </c>
      <c r="T6" s="99" t="s">
        <v>298</v>
      </c>
      <c r="U6" s="99" t="s">
        <v>300</v>
      </c>
    </row>
    <row r="7" spans="1:24">
      <c r="D7" s="96" t="s">
        <v>287</v>
      </c>
      <c r="E7" s="59"/>
      <c r="F7" s="95" t="s">
        <v>266</v>
      </c>
      <c r="G7" s="98"/>
      <c r="H7" s="99" t="s">
        <v>290</v>
      </c>
      <c r="I7" s="99" t="s">
        <v>303</v>
      </c>
      <c r="J7" s="99" t="s">
        <v>292</v>
      </c>
      <c r="K7" s="99" t="s">
        <v>292</v>
      </c>
      <c r="L7" s="99" t="s">
        <v>294</v>
      </c>
      <c r="M7" s="99" t="s">
        <v>292</v>
      </c>
      <c r="N7" s="97"/>
      <c r="O7" s="103" t="s">
        <v>292</v>
      </c>
      <c r="P7" s="103" t="s">
        <v>292</v>
      </c>
      <c r="Q7" s="103" t="s">
        <v>292</v>
      </c>
      <c r="R7" s="59"/>
      <c r="S7" s="99" t="s">
        <v>301</v>
      </c>
      <c r="T7" s="99" t="s">
        <v>301</v>
      </c>
      <c r="U7" s="99" t="s">
        <v>301</v>
      </c>
    </row>
    <row r="8" spans="1:24">
      <c r="D8" s="84" t="s">
        <v>273</v>
      </c>
      <c r="F8" t="str">
        <f>'COMP DATA'!H8</f>
        <v>524558</v>
      </c>
      <c r="H8" s="115">
        <f>'COMP DATA'!I8</f>
        <v>18781.849999999999</v>
      </c>
      <c r="I8" s="55">
        <f>'COMP DATA'!J8*10</f>
        <v>128.29946000000001</v>
      </c>
      <c r="J8" s="106">
        <f t="shared" ref="J8:J11" si="0">H8*I8</f>
        <v>2409701.2128010001</v>
      </c>
      <c r="K8" s="116">
        <f>'COMP DATA'!K8*10</f>
        <v>30711.862016972998</v>
      </c>
      <c r="L8" s="116">
        <f>'COMP DATA'!L8*10</f>
        <v>36185.326914123005</v>
      </c>
      <c r="M8" s="106">
        <f t="shared" ref="M8:M11" si="1">J8+K8-L8</f>
        <v>2404227.7479038504</v>
      </c>
      <c r="O8" s="116">
        <f>'COMP DATA'!M8*10</f>
        <v>206224.30237581901</v>
      </c>
      <c r="P8" s="116">
        <f>'COMP DATA'!N8*10</f>
        <v>58564.638059363999</v>
      </c>
      <c r="Q8" s="116">
        <f>'COMP DATA'!O8*10</f>
        <v>37106.207506908002</v>
      </c>
      <c r="S8" s="107">
        <f t="shared" ref="S8:S11" si="2">M8/O8</f>
        <v>11.658314370352114</v>
      </c>
      <c r="T8" s="107">
        <f t="shared" ref="T8:T11" si="3">M8/P8</f>
        <v>41.052550268761273</v>
      </c>
      <c r="U8" s="107">
        <f t="shared" ref="U8:U11" si="4">J8/Q8</f>
        <v>64.940649414316724</v>
      </c>
    </row>
    <row r="9" spans="1:24">
      <c r="D9" s="84" t="s">
        <v>274</v>
      </c>
      <c r="F9" t="str">
        <f>'COMP DATA'!H9</f>
        <v>IPCALAB</v>
      </c>
      <c r="H9" s="115">
        <f>'COMP DATA'!I9</f>
        <v>1696.4</v>
      </c>
      <c r="I9" s="116">
        <f>'COMP DATA'!J9*10</f>
        <v>2536.9497499999998</v>
      </c>
      <c r="J9" s="106">
        <f t="shared" si="0"/>
        <v>4303681.5559</v>
      </c>
      <c r="K9" s="116">
        <f>'COMP DATA'!K9*10</f>
        <v>82445.462446634992</v>
      </c>
      <c r="L9" s="116">
        <f>'COMP DATA'!L9*10</f>
        <v>121746.6</v>
      </c>
      <c r="M9" s="106">
        <f t="shared" si="1"/>
        <v>4264380.4183466351</v>
      </c>
      <c r="O9" s="116">
        <f>'COMP DATA'!M9*10</f>
        <v>983352.46152672905</v>
      </c>
      <c r="P9" s="116">
        <f>'COMP DATA'!N9*10</f>
        <v>201695.55141856498</v>
      </c>
      <c r="Q9" s="116">
        <f>'COMP DATA'!O9*10</f>
        <v>116326.433368584</v>
      </c>
      <c r="S9" s="107">
        <f t="shared" si="2"/>
        <v>4.3365736957894647</v>
      </c>
      <c r="T9" s="107">
        <f t="shared" si="3"/>
        <v>21.142659758008534</v>
      </c>
      <c r="U9" s="107">
        <f t="shared" si="4"/>
        <v>36.996591671160829</v>
      </c>
    </row>
    <row r="10" spans="1:24">
      <c r="D10" s="84" t="s">
        <v>275</v>
      </c>
      <c r="F10" t="str">
        <f>'COMP DATA'!H10</f>
        <v>532482</v>
      </c>
      <c r="H10" s="115">
        <f>'COMP DATA'!I10</f>
        <v>811.65</v>
      </c>
      <c r="I10" s="116">
        <f>'COMP DATA'!J10*10</f>
        <v>2432.62878</v>
      </c>
      <c r="J10" s="106">
        <f t="shared" si="0"/>
        <v>1974443.1492870001</v>
      </c>
      <c r="K10" s="116">
        <f>'COMP DATA'!K10*10</f>
        <v>154138.33410929999</v>
      </c>
      <c r="L10" s="116">
        <f>'COMP DATA'!L10*10</f>
        <v>96747.623795673004</v>
      </c>
      <c r="M10" s="106">
        <f t="shared" si="1"/>
        <v>2031833.8596006271</v>
      </c>
      <c r="O10" s="116">
        <f>'COMP DATA'!M10*10</f>
        <v>544252.28847077698</v>
      </c>
      <c r="P10" s="116">
        <f>'COMP DATA'!N10*10</f>
        <v>120814.265289177</v>
      </c>
      <c r="Q10" s="116">
        <f>'COMP DATA'!O10*10</f>
        <v>60656.785028081998</v>
      </c>
      <c r="S10" s="107">
        <f t="shared" si="2"/>
        <v>3.733257356270582</v>
      </c>
      <c r="T10" s="107">
        <f t="shared" si="3"/>
        <v>16.817830698529658</v>
      </c>
      <c r="U10" s="107">
        <f t="shared" si="4"/>
        <v>32.551068250203187</v>
      </c>
    </row>
    <row r="11" spans="1:24">
      <c r="D11" s="84" t="s">
        <v>276</v>
      </c>
      <c r="F11" t="str">
        <f>'COMP DATA'!H11</f>
        <v>LAURUSLABS</v>
      </c>
      <c r="H11" s="115">
        <f>'COMP DATA'!I11</f>
        <v>1493.3</v>
      </c>
      <c r="I11" s="116">
        <f>'COMP DATA'!J11*10</f>
        <v>5404.5958900000005</v>
      </c>
      <c r="J11" s="106">
        <f t="shared" si="0"/>
        <v>8070683.042537001</v>
      </c>
      <c r="K11" s="116">
        <f>'COMP DATA'!K11*10</f>
        <v>256735.30797222303</v>
      </c>
      <c r="L11" s="116">
        <f>'COMP DATA'!L11*10</f>
        <v>11590.643380473</v>
      </c>
      <c r="M11" s="106">
        <f t="shared" si="1"/>
        <v>8315827.7071287511</v>
      </c>
      <c r="O11" s="116">
        <f>'COMP DATA'!M11*10</f>
        <v>694510.96791509085</v>
      </c>
      <c r="P11" s="116">
        <f>'COMP DATA'!N11*10</f>
        <v>181396.12361952598</v>
      </c>
      <c r="Q11" s="116">
        <f>'COMP DATA'!O11*10</f>
        <v>90603.766888577986</v>
      </c>
      <c r="S11" s="107">
        <f t="shared" si="2"/>
        <v>11.973644897348004</v>
      </c>
      <c r="T11" s="107">
        <f t="shared" si="3"/>
        <v>45.843469756669116</v>
      </c>
      <c r="U11" s="107">
        <f t="shared" si="4"/>
        <v>89.076683229540606</v>
      </c>
    </row>
    <row r="12" spans="1:24">
      <c r="V12" s="107"/>
      <c r="W12" s="107"/>
      <c r="X12" s="107"/>
    </row>
    <row r="13" spans="1:24">
      <c r="D13" s="94" t="s">
        <v>304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08">
        <f>AVERAGE(S8:S11)</f>
        <v>7.925447579940041</v>
      </c>
      <c r="T13" s="108">
        <f t="shared" ref="T13:U13" si="5">AVERAGE(T8:T11)</f>
        <v>31.214127620492143</v>
      </c>
      <c r="U13" s="108">
        <f t="shared" si="5"/>
        <v>55.89124814130534</v>
      </c>
    </row>
    <row r="14" spans="1:24">
      <c r="D14" s="94" t="s">
        <v>305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108">
        <f>MEDIAN(S8:S11)</f>
        <v>7.9974440330707894</v>
      </c>
      <c r="T14" s="108">
        <f t="shared" ref="T14:U14" si="6">MEDIAN(T8:T11)</f>
        <v>31.097605013384904</v>
      </c>
      <c r="U14" s="108">
        <f t="shared" si="6"/>
        <v>50.968620542738776</v>
      </c>
    </row>
    <row r="16" spans="1:24">
      <c r="D16" s="84" t="s">
        <v>271</v>
      </c>
      <c r="F16" s="109" t="str">
        <f>'COMP DATA'!H6</f>
        <v>ACUTAAS</v>
      </c>
      <c r="H16" s="116">
        <f>'COMP DATA'!I6</f>
        <v>3567.5</v>
      </c>
      <c r="I16" s="116">
        <f>'COMP DATA'!J6*10</f>
        <v>821.43254999999999</v>
      </c>
      <c r="J16" s="106">
        <f>H16*I16</f>
        <v>2930460.6221249998</v>
      </c>
      <c r="K16" s="116">
        <f>'COMP DATA'!K6*10</f>
        <v>3628.6663614210001</v>
      </c>
      <c r="L16" s="116">
        <f>'COMP DATA'!L6*10</f>
        <v>22919.738644575002</v>
      </c>
      <c r="M16" s="106">
        <f>J16+K16-L16</f>
        <v>2911169.5498418454</v>
      </c>
      <c r="O16" s="55">
        <f>'COMP DATA'!M6*10</f>
        <v>136535.82672256202</v>
      </c>
      <c r="P16" s="55">
        <f>'COMP DATA'!N6*10</f>
        <v>48973.905575810997</v>
      </c>
      <c r="Q16" s="55">
        <f>'COMP DATA'!O6*10</f>
        <v>36316.871494074003</v>
      </c>
      <c r="S16" s="107">
        <f t="shared" ref="S16" si="7">M16/O16</f>
        <v>21.3216532226174</v>
      </c>
      <c r="T16" s="107">
        <f t="shared" ref="T16" si="8">M16/P16</f>
        <v>59.443279346700074</v>
      </c>
      <c r="U16" s="107">
        <f t="shared" ref="U16" si="9">J16/Q16</f>
        <v>80.691439035523118</v>
      </c>
    </row>
    <row r="18" spans="4:15">
      <c r="D18" s="112" t="s">
        <v>306</v>
      </c>
      <c r="E18" s="113" t="s">
        <v>307</v>
      </c>
      <c r="F18" s="112"/>
      <c r="G18" s="112"/>
      <c r="H18" s="114" t="s">
        <v>291</v>
      </c>
      <c r="I18" s="114" t="s">
        <v>308</v>
      </c>
      <c r="J18" s="114" t="s">
        <v>309</v>
      </c>
      <c r="K18" s="114" t="s">
        <v>268</v>
      </c>
      <c r="L18" s="114" t="s">
        <v>310</v>
      </c>
      <c r="M18" s="64"/>
      <c r="N18" s="64"/>
      <c r="O18" s="64"/>
    </row>
    <row r="19" spans="4:15">
      <c r="D19" t="s">
        <v>311</v>
      </c>
      <c r="E19" s="107">
        <f>S14</f>
        <v>7.9974440330707894</v>
      </c>
      <c r="H19" s="106">
        <f>E19*O16</f>
        <v>1091937.632722741</v>
      </c>
      <c r="I19" s="28">
        <f>K16-L16</f>
        <v>-19291.072283154001</v>
      </c>
      <c r="J19" s="106">
        <f>H19-I19</f>
        <v>1111228.7050058949</v>
      </c>
      <c r="K19" s="54">
        <f>$I$16</f>
        <v>821.43254999999999</v>
      </c>
      <c r="L19" s="110">
        <f>J19/K19</f>
        <v>1352.7936103894287</v>
      </c>
    </row>
    <row r="20" spans="4:15">
      <c r="D20" t="s">
        <v>298</v>
      </c>
      <c r="E20" s="107">
        <f>T14</f>
        <v>31.097605013384904</v>
      </c>
      <c r="H20" s="106">
        <f>E20*P16</f>
        <v>1522971.171559379</v>
      </c>
      <c r="I20" s="28">
        <f>I19</f>
        <v>-19291.072283154001</v>
      </c>
      <c r="J20" s="106">
        <f>H20-I20</f>
        <v>1542262.2438425329</v>
      </c>
      <c r="K20" s="54">
        <f t="shared" ref="K20:K21" si="10">$I$16</f>
        <v>821.43254999999999</v>
      </c>
      <c r="L20" s="110">
        <f>J20/K20</f>
        <v>1877.527550913989</v>
      </c>
    </row>
    <row r="21" spans="4:15">
      <c r="D21" t="s">
        <v>300</v>
      </c>
      <c r="E21" s="107">
        <f>U14</f>
        <v>50.968620542738776</v>
      </c>
      <c r="H21" s="106">
        <f>+J21+I21</f>
        <v>1831729.7701977105</v>
      </c>
      <c r="I21" s="28">
        <f>I20</f>
        <v>-19291.072283154001</v>
      </c>
      <c r="J21" s="106">
        <f>E21*Q16</f>
        <v>1851020.8424808644</v>
      </c>
      <c r="K21" s="54">
        <f t="shared" si="10"/>
        <v>821.43254999999999</v>
      </c>
      <c r="L21" s="110">
        <f>J21/K21</f>
        <v>2253.4057634809633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showGridLines="0" workbookViewId="0">
      <selection activeCell="J8" sqref="J8"/>
    </sheetView>
  </sheetViews>
  <sheetFormatPr defaultColWidth="11.81640625" defaultRowHeight="14.5"/>
  <cols>
    <col min="1" max="3" width="1.36328125" customWidth="1"/>
    <col min="4" max="4" width="40.81640625" customWidth="1"/>
    <col min="5" max="6" width="12.81640625" customWidth="1"/>
    <col min="7" max="7" width="2.81640625" customWidth="1"/>
    <col min="8" max="8" width="11.81640625" customWidth="1"/>
  </cols>
  <sheetData>
    <row r="1" spans="1:16" ht="46">
      <c r="A1" s="17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6" ht="18.5">
      <c r="A2" s="3" t="s">
        <v>264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spans="1:16">
      <c r="D5" s="80" t="s">
        <v>265</v>
      </c>
      <c r="E5" s="81"/>
      <c r="F5" s="81"/>
      <c r="G5" s="81"/>
      <c r="H5" s="82" t="s">
        <v>266</v>
      </c>
      <c r="I5" s="83" t="s">
        <v>267</v>
      </c>
      <c r="J5" s="83" t="s">
        <v>286</v>
      </c>
      <c r="K5" s="83" t="s">
        <v>281</v>
      </c>
      <c r="L5" s="83" t="s">
        <v>282</v>
      </c>
      <c r="M5" s="83" t="s">
        <v>283</v>
      </c>
      <c r="N5" s="83" t="s">
        <v>284</v>
      </c>
      <c r="O5" s="83" t="s">
        <v>285</v>
      </c>
      <c r="P5" s="83" t="s">
        <v>270</v>
      </c>
    </row>
    <row r="6" spans="1:16">
      <c r="D6" s="84" t="s">
        <v>271</v>
      </c>
      <c r="E6" s="84"/>
      <c r="H6" s="91" t="s">
        <v>272</v>
      </c>
      <c r="I6" s="86">
        <v>3567.5</v>
      </c>
      <c r="J6" s="88">
        <v>82.143254999999996</v>
      </c>
      <c r="K6" s="89">
        <v>362.86663614209999</v>
      </c>
      <c r="L6" s="89">
        <v>2291.9738644575</v>
      </c>
      <c r="M6" s="89">
        <v>13653.582672256201</v>
      </c>
      <c r="N6" s="89">
        <v>4897.3905575810995</v>
      </c>
      <c r="O6" s="89">
        <v>3631.6871494074003</v>
      </c>
      <c r="P6" s="90">
        <v>0.26175599999999999</v>
      </c>
    </row>
    <row r="7" spans="1:16">
      <c r="H7" s="91"/>
      <c r="I7" s="86"/>
      <c r="J7" s="86"/>
      <c r="K7" s="86"/>
      <c r="L7" s="86"/>
      <c r="M7" s="87"/>
      <c r="N7" s="86"/>
      <c r="O7" s="86"/>
      <c r="P7" s="86"/>
    </row>
    <row r="8" spans="1:16">
      <c r="D8" s="84" t="s">
        <v>273</v>
      </c>
      <c r="H8" s="91" t="s">
        <v>277</v>
      </c>
      <c r="I8" s="89">
        <v>18781.849999999999</v>
      </c>
      <c r="J8" s="92">
        <v>12.829946</v>
      </c>
      <c r="K8" s="89">
        <v>3071.1862016973</v>
      </c>
      <c r="L8" s="89">
        <v>3618.5326914123002</v>
      </c>
      <c r="M8" s="89">
        <v>20622.430237581902</v>
      </c>
      <c r="N8" s="89">
        <v>5856.4638059363997</v>
      </c>
      <c r="O8" s="89">
        <v>3710.6207506908004</v>
      </c>
      <c r="P8" s="90">
        <v>0.25559199999999999</v>
      </c>
    </row>
    <row r="9" spans="1:16">
      <c r="D9" s="84" t="s">
        <v>274</v>
      </c>
      <c r="H9" s="91" t="s">
        <v>278</v>
      </c>
      <c r="I9" s="89">
        <v>1696.4</v>
      </c>
      <c r="J9" s="92">
        <v>253.694975</v>
      </c>
      <c r="K9" s="89">
        <v>8244.5462446634992</v>
      </c>
      <c r="L9" s="111">
        <v>12174.66</v>
      </c>
      <c r="M9" s="89">
        <v>98335.246152672902</v>
      </c>
      <c r="N9" s="89">
        <v>20169.555141856497</v>
      </c>
      <c r="O9" s="89">
        <v>11632.6433368584</v>
      </c>
      <c r="P9" s="90">
        <v>0.243557</v>
      </c>
    </row>
    <row r="10" spans="1:16">
      <c r="D10" s="84" t="s">
        <v>275</v>
      </c>
      <c r="H10" s="91" t="s">
        <v>279</v>
      </c>
      <c r="I10" s="89">
        <v>811.65</v>
      </c>
      <c r="J10" s="92">
        <v>243.262878</v>
      </c>
      <c r="K10" s="89">
        <v>15413.833410929999</v>
      </c>
      <c r="L10" s="89">
        <v>9674.7623795673007</v>
      </c>
      <c r="M10" s="89">
        <v>54425.228847077698</v>
      </c>
      <c r="N10" s="89">
        <v>12081.4265289177</v>
      </c>
      <c r="O10" s="89">
        <v>6065.6785028081995</v>
      </c>
      <c r="P10" s="90">
        <v>0.24199300000000001</v>
      </c>
    </row>
    <row r="11" spans="1:16">
      <c r="D11" s="84" t="s">
        <v>276</v>
      </c>
      <c r="H11" s="91" t="s">
        <v>280</v>
      </c>
      <c r="I11" s="89">
        <v>1493.3</v>
      </c>
      <c r="J11" s="92">
        <v>540.45958900000005</v>
      </c>
      <c r="K11" s="89">
        <v>25673.530797222302</v>
      </c>
      <c r="L11" s="89">
        <v>1159.0643380473</v>
      </c>
      <c r="M11" s="89">
        <v>69451.096791509088</v>
      </c>
      <c r="N11" s="89">
        <v>18139.612361952597</v>
      </c>
      <c r="O11" s="89">
        <v>9060.3766888577993</v>
      </c>
      <c r="P11" s="90">
        <v>0.247028</v>
      </c>
    </row>
    <row r="12" spans="1:16">
      <c r="D12" s="84"/>
      <c r="H12" s="86"/>
      <c r="I12" s="86"/>
      <c r="J12" s="86"/>
      <c r="K12" s="86"/>
      <c r="M12" s="86"/>
      <c r="N12" s="86"/>
      <c r="O12" s="86"/>
      <c r="P12" s="86"/>
    </row>
    <row r="13" spans="1:16">
      <c r="H13" s="86"/>
      <c r="I13" s="86"/>
      <c r="J13" s="86"/>
      <c r="K13" s="86"/>
      <c r="L13" s="86"/>
      <c r="M13" s="86"/>
      <c r="N13" s="86"/>
      <c r="O13" s="86"/>
      <c r="P13" s="86"/>
    </row>
    <row r="14" spans="1:16">
      <c r="H14" s="86"/>
      <c r="I14" s="86"/>
      <c r="J14" s="86"/>
      <c r="K14" s="86"/>
      <c r="L14" s="86"/>
      <c r="M14" s="86"/>
      <c r="N14" s="86"/>
      <c r="O14" s="86"/>
      <c r="P14" s="86"/>
    </row>
    <row r="15" spans="1:16">
      <c r="A15" s="93" t="s">
        <v>288</v>
      </c>
      <c r="E15" s="105">
        <v>46205</v>
      </c>
      <c r="H15" s="86"/>
      <c r="I15" s="86"/>
      <c r="J15" s="86"/>
      <c r="K15" s="86"/>
      <c r="L15" s="86"/>
      <c r="M15" s="86"/>
      <c r="N15" s="86"/>
      <c r="O15" s="86"/>
      <c r="P15" s="86"/>
    </row>
    <row r="16" spans="1:16">
      <c r="H16" s="86"/>
      <c r="I16" s="86"/>
      <c r="J16" s="86"/>
      <c r="K16" s="86"/>
      <c r="L16" s="86"/>
      <c r="M16" s="86"/>
      <c r="N16" s="86"/>
      <c r="O16" s="86"/>
      <c r="P16" s="86"/>
    </row>
  </sheetData>
  <pageMargins left="0.7" right="0.7" top="0.75" bottom="0.75" header="0.3" footer="0.3"/>
  <pageSetup orientation="portrait" r:id="rId1"/>
  <ignoredErrors>
    <ignoredError sqref="H8 H1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82"/>
  <sheetViews>
    <sheetView showGridLines="0" workbookViewId="0">
      <selection activeCell="E11" sqref="E11"/>
    </sheetView>
  </sheetViews>
  <sheetFormatPr defaultRowHeight="14.5"/>
  <cols>
    <col min="1" max="1" width="10.6328125" customWidth="1"/>
    <col min="2" max="2" width="11.7265625" customWidth="1"/>
    <col min="3" max="3" width="8.7265625" customWidth="1"/>
    <col min="4" max="4" width="16.6328125" customWidth="1"/>
    <col min="5" max="6" width="12.81640625" customWidth="1"/>
    <col min="7" max="7" width="2.81640625" customWidth="1"/>
    <col min="8" max="8" width="11.81640625" customWidth="1"/>
  </cols>
  <sheetData>
    <row r="1" spans="1:6" ht="46">
      <c r="A1" s="17" t="s">
        <v>2</v>
      </c>
      <c r="B1" s="1"/>
      <c r="C1" s="1"/>
      <c r="D1" s="1"/>
      <c r="E1" s="1"/>
      <c r="F1" s="1"/>
    </row>
    <row r="2" spans="1:6" ht="18.5">
      <c r="A2" s="3" t="s">
        <v>312</v>
      </c>
      <c r="B2" s="2"/>
      <c r="C2" s="2"/>
      <c r="D2" s="2"/>
      <c r="E2" s="2"/>
      <c r="F2" s="2"/>
    </row>
    <row r="4" spans="1:6">
      <c r="A4" s="2"/>
      <c r="B4" s="2" t="s">
        <v>314</v>
      </c>
      <c r="C4" s="64"/>
      <c r="D4" s="64"/>
    </row>
    <row r="5" spans="1:6">
      <c r="A5" s="2" t="s">
        <v>313</v>
      </c>
      <c r="B5" s="2" t="s">
        <v>315</v>
      </c>
      <c r="C5" s="64"/>
      <c r="D5" s="123" t="s">
        <v>314</v>
      </c>
      <c r="E5" s="37" t="s">
        <v>318</v>
      </c>
    </row>
    <row r="6" spans="1:6">
      <c r="A6" s="117">
        <v>46204</v>
      </c>
      <c r="B6" s="118">
        <v>36358.080000000002</v>
      </c>
    </row>
    <row r="7" spans="1:6">
      <c r="A7" s="117">
        <v>46203</v>
      </c>
      <c r="B7" s="118">
        <v>36145.879999999997</v>
      </c>
    </row>
    <row r="8" spans="1:6">
      <c r="A8" s="117">
        <v>46202</v>
      </c>
      <c r="B8" s="118">
        <v>36262.15</v>
      </c>
      <c r="D8" s="5" t="s">
        <v>316</v>
      </c>
      <c r="E8" s="124">
        <f>YEARFRAC(A6,A2482)</f>
        <v>10</v>
      </c>
    </row>
    <row r="9" spans="1:6">
      <c r="A9" s="117">
        <v>46198</v>
      </c>
      <c r="B9" s="118">
        <v>36428.370000000003</v>
      </c>
    </row>
    <row r="10" spans="1:6">
      <c r="A10" s="117">
        <v>46197</v>
      </c>
      <c r="B10" s="118">
        <v>36376.39</v>
      </c>
    </row>
    <row r="11" spans="1:6">
      <c r="A11" s="117">
        <v>46196</v>
      </c>
      <c r="B11" s="118">
        <v>36077.17</v>
      </c>
      <c r="D11" s="5" t="s">
        <v>317</v>
      </c>
      <c r="E11" s="125">
        <f>_xlfn.RRI(E8,B2482,B6)</f>
        <v>0.12520599576254754</v>
      </c>
    </row>
    <row r="12" spans="1:6">
      <c r="A12" s="117">
        <v>46195</v>
      </c>
      <c r="B12" s="118">
        <v>36489.39</v>
      </c>
    </row>
    <row r="13" spans="1:6">
      <c r="A13" s="117">
        <v>46192</v>
      </c>
      <c r="B13" s="118">
        <v>36353.449999999997</v>
      </c>
    </row>
    <row r="14" spans="1:6">
      <c r="A14" s="117">
        <v>46191</v>
      </c>
      <c r="B14" s="118">
        <v>36519.019999999997</v>
      </c>
    </row>
    <row r="15" spans="1:6">
      <c r="A15" s="117">
        <v>46190</v>
      </c>
      <c r="B15" s="118">
        <v>36394.660000000003</v>
      </c>
    </row>
    <row r="16" spans="1:6">
      <c r="A16" s="117">
        <v>46189</v>
      </c>
      <c r="B16" s="118">
        <v>36248.81</v>
      </c>
    </row>
    <row r="17" spans="1:2">
      <c r="A17" s="117">
        <v>46188</v>
      </c>
      <c r="B17" s="118">
        <v>36044.400000000001</v>
      </c>
    </row>
    <row r="18" spans="1:2">
      <c r="A18" s="117">
        <v>46185</v>
      </c>
      <c r="B18" s="118">
        <v>35695.33</v>
      </c>
    </row>
    <row r="19" spans="1:2">
      <c r="A19" s="117">
        <v>46184</v>
      </c>
      <c r="B19" s="118">
        <v>34985.25</v>
      </c>
    </row>
    <row r="20" spans="1:2">
      <c r="A20" s="117">
        <v>46183</v>
      </c>
      <c r="B20" s="118">
        <v>35065.85</v>
      </c>
    </row>
    <row r="21" spans="1:2">
      <c r="A21" s="117">
        <v>46182</v>
      </c>
      <c r="B21" s="118">
        <v>35106.89</v>
      </c>
    </row>
    <row r="22" spans="1:2">
      <c r="A22" s="117">
        <v>46181</v>
      </c>
      <c r="B22" s="118">
        <v>34926.959999999999</v>
      </c>
    </row>
    <row r="23" spans="1:2">
      <c r="A23" s="117">
        <v>46178</v>
      </c>
      <c r="B23" s="118">
        <v>35295.11</v>
      </c>
    </row>
    <row r="24" spans="1:2">
      <c r="A24" s="117">
        <v>46177</v>
      </c>
      <c r="B24" s="118">
        <v>35354.58</v>
      </c>
    </row>
    <row r="25" spans="1:2">
      <c r="A25" s="117">
        <v>46176</v>
      </c>
      <c r="B25" s="118">
        <v>35338.07</v>
      </c>
    </row>
    <row r="26" spans="1:2">
      <c r="A26" s="117">
        <v>46175</v>
      </c>
      <c r="B26" s="118">
        <v>35455.730000000003</v>
      </c>
    </row>
    <row r="27" spans="1:2">
      <c r="A27" s="117">
        <v>46174</v>
      </c>
      <c r="B27" s="118">
        <v>35303.300000000003</v>
      </c>
    </row>
    <row r="28" spans="1:2">
      <c r="A28" s="117">
        <v>46171</v>
      </c>
      <c r="B28" s="118">
        <v>35552.639999999999</v>
      </c>
    </row>
    <row r="29" spans="1:2">
      <c r="A29" s="117">
        <v>46169</v>
      </c>
      <c r="B29" s="118">
        <v>36089.71</v>
      </c>
    </row>
    <row r="30" spans="1:2">
      <c r="A30" s="117">
        <v>46168</v>
      </c>
      <c r="B30" s="118">
        <v>36099.61</v>
      </c>
    </row>
    <row r="31" spans="1:2">
      <c r="A31" s="117">
        <v>46167</v>
      </c>
      <c r="B31" s="118">
        <v>36277.769999999997</v>
      </c>
    </row>
    <row r="32" spans="1:2">
      <c r="A32" s="117">
        <v>46164</v>
      </c>
      <c r="B32" s="118">
        <v>35793.78</v>
      </c>
    </row>
    <row r="33" spans="1:2">
      <c r="A33" s="117">
        <v>46163</v>
      </c>
      <c r="B33" s="118">
        <v>35681.64</v>
      </c>
    </row>
    <row r="34" spans="1:2">
      <c r="A34" s="117">
        <v>46162</v>
      </c>
      <c r="B34" s="118">
        <v>35688.120000000003</v>
      </c>
    </row>
    <row r="35" spans="1:2">
      <c r="A35" s="117">
        <v>46161</v>
      </c>
      <c r="B35" s="118">
        <v>35626.29</v>
      </c>
    </row>
    <row r="36" spans="1:2">
      <c r="A36" s="117">
        <v>46160</v>
      </c>
      <c r="B36" s="118">
        <v>35674.46</v>
      </c>
    </row>
    <row r="37" spans="1:2">
      <c r="A37" s="117">
        <v>46157</v>
      </c>
      <c r="B37" s="118">
        <v>35664.76</v>
      </c>
    </row>
    <row r="38" spans="1:2">
      <c r="A38" s="117">
        <v>46156</v>
      </c>
      <c r="B38" s="118">
        <v>35710.57</v>
      </c>
    </row>
    <row r="39" spans="1:2">
      <c r="A39" s="117">
        <v>46155</v>
      </c>
      <c r="B39" s="118">
        <v>35293.050000000003</v>
      </c>
    </row>
    <row r="40" spans="1:2">
      <c r="A40" s="117">
        <v>46154</v>
      </c>
      <c r="B40" s="118">
        <v>35243.17</v>
      </c>
    </row>
    <row r="41" spans="1:2">
      <c r="A41" s="117">
        <v>46153</v>
      </c>
      <c r="B41" s="118">
        <v>35900.870000000003</v>
      </c>
    </row>
    <row r="42" spans="1:2">
      <c r="A42" s="117">
        <v>46150</v>
      </c>
      <c r="B42" s="118">
        <v>36444.03</v>
      </c>
    </row>
    <row r="43" spans="1:2">
      <c r="A43" s="117">
        <v>46149</v>
      </c>
      <c r="B43" s="118">
        <v>36670.879999999997</v>
      </c>
    </row>
    <row r="44" spans="1:2">
      <c r="A44" s="117">
        <v>46148</v>
      </c>
      <c r="B44" s="118">
        <v>36677.360000000001</v>
      </c>
    </row>
    <row r="45" spans="1:2">
      <c r="A45" s="117">
        <v>46147</v>
      </c>
      <c r="B45" s="118">
        <v>36227.97</v>
      </c>
    </row>
    <row r="46" spans="1:2">
      <c r="A46" s="117">
        <v>46146</v>
      </c>
      <c r="B46" s="118">
        <v>36358.33</v>
      </c>
    </row>
    <row r="47" spans="1:2">
      <c r="A47" s="117">
        <v>46142</v>
      </c>
      <c r="B47" s="118">
        <v>36174.800000000003</v>
      </c>
    </row>
    <row r="48" spans="1:2">
      <c r="A48" s="117">
        <v>46141</v>
      </c>
      <c r="B48" s="118">
        <v>36446.26</v>
      </c>
    </row>
    <row r="49" spans="1:2">
      <c r="A49" s="117">
        <v>46140</v>
      </c>
      <c r="B49" s="118">
        <v>36172.04</v>
      </c>
    </row>
    <row r="50" spans="1:2">
      <c r="A50" s="117">
        <v>46139</v>
      </c>
      <c r="B50" s="118">
        <v>36318.25</v>
      </c>
    </row>
    <row r="51" spans="1:2">
      <c r="A51" s="117">
        <v>46136</v>
      </c>
      <c r="B51" s="118">
        <v>36024.639999999999</v>
      </c>
    </row>
    <row r="52" spans="1:2">
      <c r="A52" s="117">
        <v>46135</v>
      </c>
      <c r="B52" s="118">
        <v>36430.959999999999</v>
      </c>
    </row>
    <row r="53" spans="1:2">
      <c r="A53" s="117">
        <v>46134</v>
      </c>
      <c r="B53" s="118">
        <v>36739.93</v>
      </c>
    </row>
    <row r="54" spans="1:2">
      <c r="A54" s="117">
        <v>46133</v>
      </c>
      <c r="B54" s="118">
        <v>37039.120000000003</v>
      </c>
    </row>
    <row r="55" spans="1:2">
      <c r="A55" s="117">
        <v>46132</v>
      </c>
      <c r="B55" s="118">
        <v>36719.99</v>
      </c>
    </row>
    <row r="56" spans="1:2">
      <c r="A56" s="117">
        <v>46129</v>
      </c>
      <c r="B56" s="118">
        <v>36702.93</v>
      </c>
    </row>
    <row r="57" spans="1:2">
      <c r="A57" s="117">
        <v>46128</v>
      </c>
      <c r="B57" s="118">
        <v>36466.620000000003</v>
      </c>
    </row>
    <row r="58" spans="1:2">
      <c r="A58" s="117">
        <v>46127</v>
      </c>
      <c r="B58" s="118">
        <v>36518.69</v>
      </c>
    </row>
    <row r="59" spans="1:2">
      <c r="A59" s="117">
        <v>46125</v>
      </c>
      <c r="B59" s="118">
        <v>35932.959999999999</v>
      </c>
    </row>
    <row r="60" spans="1:2">
      <c r="A60" s="117">
        <v>46122</v>
      </c>
      <c r="B60" s="118">
        <v>36246.400000000001</v>
      </c>
    </row>
    <row r="61" spans="1:2">
      <c r="A61" s="117">
        <v>46121</v>
      </c>
      <c r="B61" s="118">
        <v>35831.22</v>
      </c>
    </row>
    <row r="62" spans="1:2">
      <c r="A62" s="117">
        <v>46120</v>
      </c>
      <c r="B62" s="118">
        <v>36166.14</v>
      </c>
    </row>
    <row r="63" spans="1:2">
      <c r="A63" s="117">
        <v>46119</v>
      </c>
      <c r="B63" s="118">
        <v>34849.410000000003</v>
      </c>
    </row>
    <row r="64" spans="1:2">
      <c r="A64" s="117">
        <v>46118</v>
      </c>
      <c r="B64" s="118">
        <v>34615.19</v>
      </c>
    </row>
    <row r="65" spans="1:2">
      <c r="A65" s="117">
        <v>46114</v>
      </c>
      <c r="B65" s="118">
        <v>34230.629999999997</v>
      </c>
    </row>
    <row r="66" spans="1:2">
      <c r="A66" s="117">
        <v>46113</v>
      </c>
      <c r="B66" s="118">
        <v>34179.9</v>
      </c>
    </row>
    <row r="67" spans="1:2">
      <c r="A67" s="117">
        <v>46111</v>
      </c>
      <c r="B67" s="118">
        <v>33655.43</v>
      </c>
    </row>
    <row r="68" spans="1:2">
      <c r="A68" s="117">
        <v>46108</v>
      </c>
      <c r="B68" s="118">
        <v>34391.129999999997</v>
      </c>
    </row>
    <row r="69" spans="1:2">
      <c r="A69" s="117">
        <v>46106</v>
      </c>
      <c r="B69" s="118">
        <v>35124.870000000003</v>
      </c>
    </row>
    <row r="70" spans="1:2">
      <c r="A70" s="117">
        <v>46105</v>
      </c>
      <c r="B70" s="118">
        <v>34530.99</v>
      </c>
    </row>
    <row r="71" spans="1:2">
      <c r="A71" s="117">
        <v>46104</v>
      </c>
      <c r="B71" s="118">
        <v>33928.589999999997</v>
      </c>
    </row>
    <row r="72" spans="1:2">
      <c r="A72" s="117">
        <v>46101</v>
      </c>
      <c r="B72" s="118">
        <v>34835.629999999997</v>
      </c>
    </row>
    <row r="73" spans="1:2">
      <c r="A73" s="117">
        <v>46100</v>
      </c>
      <c r="B73" s="118">
        <v>34666.28</v>
      </c>
    </row>
    <row r="74" spans="1:2">
      <c r="A74" s="117">
        <v>46099</v>
      </c>
      <c r="B74" s="118">
        <v>35835.24</v>
      </c>
    </row>
    <row r="75" spans="1:2">
      <c r="A75" s="117">
        <v>46098</v>
      </c>
      <c r="B75" s="118">
        <v>35538.92</v>
      </c>
    </row>
    <row r="76" spans="1:2">
      <c r="A76" s="117">
        <v>46097</v>
      </c>
      <c r="B76" s="118">
        <v>35279.17</v>
      </c>
    </row>
    <row r="77" spans="1:2">
      <c r="A77" s="117">
        <v>46094</v>
      </c>
      <c r="B77" s="118">
        <v>34890.78</v>
      </c>
    </row>
    <row r="78" spans="1:2">
      <c r="A78" s="117">
        <v>46093</v>
      </c>
      <c r="B78" s="118">
        <v>35626.269999999997</v>
      </c>
    </row>
    <row r="79" spans="1:2">
      <c r="A79" s="117">
        <v>46092</v>
      </c>
      <c r="B79" s="118">
        <v>35969.449999999997</v>
      </c>
    </row>
    <row r="80" spans="1:2">
      <c r="A80" s="117">
        <v>46091</v>
      </c>
      <c r="B80" s="118">
        <v>36564.400000000001</v>
      </c>
    </row>
    <row r="81" spans="1:2">
      <c r="A81" s="117">
        <v>46090</v>
      </c>
      <c r="B81" s="118">
        <v>36212.400000000001</v>
      </c>
    </row>
    <row r="82" spans="1:2">
      <c r="A82" s="117">
        <v>46087</v>
      </c>
      <c r="B82" s="118">
        <v>36848.97</v>
      </c>
    </row>
    <row r="83" spans="1:2">
      <c r="A83" s="117">
        <v>46086</v>
      </c>
      <c r="B83" s="118">
        <v>37321.660000000003</v>
      </c>
    </row>
    <row r="84" spans="1:2">
      <c r="A84" s="117">
        <v>46085</v>
      </c>
      <c r="B84" s="118">
        <v>36891.56</v>
      </c>
    </row>
    <row r="85" spans="1:2">
      <c r="A85" s="117">
        <v>46083</v>
      </c>
      <c r="B85" s="118">
        <v>37472.06</v>
      </c>
    </row>
    <row r="86" spans="1:2">
      <c r="A86" s="117">
        <v>46080</v>
      </c>
      <c r="B86" s="118">
        <v>37943.67</v>
      </c>
    </row>
    <row r="87" spans="1:2">
      <c r="A87" s="117">
        <v>46079</v>
      </c>
      <c r="B87" s="118">
        <v>38422.720000000001</v>
      </c>
    </row>
    <row r="88" spans="1:2">
      <c r="A88" s="117">
        <v>46078</v>
      </c>
      <c r="B88" s="118">
        <v>38401.58</v>
      </c>
    </row>
    <row r="89" spans="1:2">
      <c r="A89" s="117">
        <v>46077</v>
      </c>
      <c r="B89" s="118">
        <v>38314.370000000003</v>
      </c>
    </row>
    <row r="90" spans="1:2">
      <c r="A90" s="117">
        <v>46076</v>
      </c>
      <c r="B90" s="118">
        <v>38748.94</v>
      </c>
    </row>
    <row r="91" spans="1:2">
      <c r="A91" s="117">
        <v>46073</v>
      </c>
      <c r="B91" s="118">
        <v>38535.31</v>
      </c>
    </row>
    <row r="92" spans="1:2">
      <c r="A92" s="117">
        <v>46072</v>
      </c>
      <c r="B92" s="118">
        <v>38359.129999999997</v>
      </c>
    </row>
    <row r="93" spans="1:2">
      <c r="A93" s="117">
        <v>46071</v>
      </c>
      <c r="B93" s="118">
        <v>38909.22</v>
      </c>
    </row>
    <row r="94" spans="1:2">
      <c r="A94" s="117">
        <v>46070</v>
      </c>
      <c r="B94" s="118">
        <v>38763.5</v>
      </c>
    </row>
    <row r="95" spans="1:2">
      <c r="A95" s="117">
        <v>46069</v>
      </c>
      <c r="B95" s="118">
        <v>38699.22</v>
      </c>
    </row>
    <row r="96" spans="1:2">
      <c r="A96" s="117">
        <v>46066</v>
      </c>
      <c r="B96" s="118">
        <v>38379.949999999997</v>
      </c>
    </row>
    <row r="97" spans="1:2">
      <c r="A97" s="117">
        <v>46065</v>
      </c>
      <c r="B97" s="118">
        <v>38886.410000000003</v>
      </c>
    </row>
    <row r="98" spans="1:2">
      <c r="A98" s="117">
        <v>46064</v>
      </c>
      <c r="B98" s="118">
        <v>39107.4</v>
      </c>
    </row>
    <row r="99" spans="1:2">
      <c r="A99" s="117">
        <v>46063</v>
      </c>
      <c r="B99" s="118">
        <v>39079.22</v>
      </c>
    </row>
    <row r="100" spans="1:2">
      <c r="A100" s="117">
        <v>46062</v>
      </c>
      <c r="B100" s="118">
        <v>38976.99</v>
      </c>
    </row>
    <row r="101" spans="1:2">
      <c r="A101" s="117">
        <v>46059</v>
      </c>
      <c r="B101" s="118">
        <v>38710.58</v>
      </c>
    </row>
    <row r="102" spans="1:2">
      <c r="A102" s="117">
        <v>46058</v>
      </c>
      <c r="B102" s="118">
        <v>38627.94</v>
      </c>
    </row>
    <row r="103" spans="1:2">
      <c r="A103" s="117">
        <v>46057</v>
      </c>
      <c r="B103" s="118">
        <v>38824.69</v>
      </c>
    </row>
    <row r="104" spans="1:2">
      <c r="A104" s="117">
        <v>46056</v>
      </c>
      <c r="B104" s="118">
        <v>38751.71</v>
      </c>
    </row>
    <row r="105" spans="1:2">
      <c r="A105" s="117">
        <v>46055</v>
      </c>
      <c r="B105" s="118">
        <v>37789</v>
      </c>
    </row>
    <row r="106" spans="1:2">
      <c r="A106" s="117">
        <v>46054</v>
      </c>
      <c r="B106" s="118">
        <v>37392.92</v>
      </c>
    </row>
    <row r="107" spans="1:2">
      <c r="A107" s="117">
        <v>46052</v>
      </c>
      <c r="B107" s="118">
        <v>38138.83</v>
      </c>
    </row>
    <row r="108" spans="1:2">
      <c r="A108" s="117">
        <v>46051</v>
      </c>
      <c r="B108" s="118">
        <v>38286.86</v>
      </c>
    </row>
    <row r="109" spans="1:2">
      <c r="A109" s="117">
        <v>46050</v>
      </c>
      <c r="B109" s="118">
        <v>38172.11</v>
      </c>
    </row>
    <row r="110" spans="1:2">
      <c r="A110" s="117">
        <v>46049</v>
      </c>
      <c r="B110" s="118">
        <v>37920.03</v>
      </c>
    </row>
    <row r="111" spans="1:2">
      <c r="A111" s="117">
        <v>46045</v>
      </c>
      <c r="B111" s="118">
        <v>37729.14</v>
      </c>
    </row>
    <row r="112" spans="1:2">
      <c r="A112" s="117">
        <v>46044</v>
      </c>
      <c r="B112" s="118">
        <v>38092.550000000003</v>
      </c>
    </row>
    <row r="113" spans="1:2">
      <c r="A113" s="117">
        <v>46043</v>
      </c>
      <c r="B113" s="118">
        <v>37893.11</v>
      </c>
    </row>
    <row r="114" spans="1:2">
      <c r="A114" s="117">
        <v>46042</v>
      </c>
      <c r="B114" s="118">
        <v>38006.050000000003</v>
      </c>
    </row>
    <row r="115" spans="1:2">
      <c r="A115" s="117">
        <v>46041</v>
      </c>
      <c r="B115" s="118">
        <v>38537.78</v>
      </c>
    </row>
    <row r="116" spans="1:2">
      <c r="A116" s="117">
        <v>46038</v>
      </c>
      <c r="B116" s="118">
        <v>38701.71</v>
      </c>
    </row>
    <row r="117" spans="1:2">
      <c r="A117" s="117">
        <v>46036</v>
      </c>
      <c r="B117" s="118">
        <v>38635.050000000003</v>
      </c>
    </row>
    <row r="118" spans="1:2">
      <c r="A118" s="117">
        <v>46035</v>
      </c>
      <c r="B118" s="118">
        <v>38735.47</v>
      </c>
    </row>
    <row r="119" spans="1:2">
      <c r="A119" s="117">
        <v>46034</v>
      </c>
      <c r="B119" s="118">
        <v>38822.720000000001</v>
      </c>
    </row>
    <row r="120" spans="1:2">
      <c r="A120" s="117">
        <v>46031</v>
      </c>
      <c r="B120" s="118">
        <v>38661.67</v>
      </c>
    </row>
    <row r="121" spans="1:2">
      <c r="A121" s="117">
        <v>46030</v>
      </c>
      <c r="B121" s="118">
        <v>38953.08</v>
      </c>
    </row>
    <row r="122" spans="1:2">
      <c r="A122" s="117">
        <v>46029</v>
      </c>
      <c r="B122" s="118">
        <v>39350.28</v>
      </c>
    </row>
    <row r="123" spans="1:2">
      <c r="A123" s="117">
        <v>46028</v>
      </c>
      <c r="B123" s="118">
        <v>39407.42</v>
      </c>
    </row>
    <row r="124" spans="1:2">
      <c r="A124" s="117">
        <v>46027</v>
      </c>
      <c r="B124" s="118">
        <v>39515.230000000003</v>
      </c>
    </row>
    <row r="125" spans="1:2">
      <c r="A125" s="117">
        <v>46024</v>
      </c>
      <c r="B125" s="118">
        <v>39632.99</v>
      </c>
    </row>
    <row r="126" spans="1:2">
      <c r="A126" s="117">
        <v>46023</v>
      </c>
      <c r="B126" s="118">
        <v>39359.019999999997</v>
      </c>
    </row>
    <row r="127" spans="1:2">
      <c r="A127" s="117">
        <v>46022</v>
      </c>
      <c r="B127" s="118">
        <v>39333.550000000003</v>
      </c>
    </row>
    <row r="128" spans="1:2">
      <c r="A128" s="117">
        <v>46021</v>
      </c>
      <c r="B128" s="118">
        <v>39046.400000000001</v>
      </c>
    </row>
    <row r="129" spans="1:2">
      <c r="A129" s="117">
        <v>46020</v>
      </c>
      <c r="B129" s="118">
        <v>39051.24</v>
      </c>
    </row>
    <row r="130" spans="1:2">
      <c r="A130" s="117">
        <v>46017</v>
      </c>
      <c r="B130" s="118">
        <v>39202.11</v>
      </c>
    </row>
    <row r="131" spans="1:2">
      <c r="A131" s="117">
        <v>46015</v>
      </c>
      <c r="B131" s="118">
        <v>39352.35</v>
      </c>
    </row>
    <row r="132" spans="1:2">
      <c r="A132" s="117">
        <v>46014</v>
      </c>
      <c r="B132" s="118">
        <v>39405.1</v>
      </c>
    </row>
    <row r="133" spans="1:2">
      <c r="A133" s="117">
        <v>46013</v>
      </c>
      <c r="B133" s="118">
        <v>39397.94</v>
      </c>
    </row>
    <row r="134" spans="1:2">
      <c r="A134" s="117">
        <v>46010</v>
      </c>
      <c r="B134" s="118">
        <v>39087.879999999997</v>
      </c>
    </row>
    <row r="135" spans="1:2">
      <c r="A135" s="117">
        <v>46009</v>
      </c>
      <c r="B135" s="118">
        <v>38860.78</v>
      </c>
    </row>
    <row r="136" spans="1:2">
      <c r="A136" s="117">
        <v>46008</v>
      </c>
      <c r="B136" s="118">
        <v>38865.29</v>
      </c>
    </row>
    <row r="137" spans="1:2">
      <c r="A137" s="117">
        <v>46007</v>
      </c>
      <c r="B137" s="118">
        <v>38927.870000000003</v>
      </c>
    </row>
    <row r="138" spans="1:2">
      <c r="A138" s="117">
        <v>46006</v>
      </c>
      <c r="B138" s="118">
        <v>39179.54</v>
      </c>
    </row>
    <row r="139" spans="1:2">
      <c r="A139" s="117">
        <v>46003</v>
      </c>
      <c r="B139" s="118">
        <v>39209.120000000003</v>
      </c>
    </row>
    <row r="140" spans="1:2">
      <c r="A140" s="117">
        <v>46002</v>
      </c>
      <c r="B140" s="118">
        <v>38985.75</v>
      </c>
    </row>
    <row r="141" spans="1:2">
      <c r="A141" s="117">
        <v>46001</v>
      </c>
      <c r="B141" s="118">
        <v>38774.129999999997</v>
      </c>
    </row>
    <row r="142" spans="1:2">
      <c r="A142" s="117">
        <v>46000</v>
      </c>
      <c r="B142" s="118">
        <v>38897.019999999997</v>
      </c>
    </row>
    <row r="143" spans="1:2">
      <c r="A143" s="117">
        <v>45999</v>
      </c>
      <c r="B143" s="118">
        <v>39079.019999999997</v>
      </c>
    </row>
    <row r="144" spans="1:2">
      <c r="A144" s="117">
        <v>45996</v>
      </c>
      <c r="B144" s="118">
        <v>39419.07</v>
      </c>
    </row>
    <row r="145" spans="1:2">
      <c r="A145" s="117">
        <v>45995</v>
      </c>
      <c r="B145" s="118">
        <v>39189.269999999997</v>
      </c>
    </row>
    <row r="146" spans="1:2">
      <c r="A146" s="117">
        <v>45994</v>
      </c>
      <c r="B146" s="118">
        <v>39117.33</v>
      </c>
    </row>
    <row r="147" spans="1:2">
      <c r="A147" s="117">
        <v>45993</v>
      </c>
      <c r="B147" s="118">
        <v>39186.92</v>
      </c>
    </row>
    <row r="148" spans="1:2">
      <c r="A148" s="117">
        <v>45992</v>
      </c>
      <c r="B148" s="118">
        <v>39403.019999999997</v>
      </c>
    </row>
    <row r="149" spans="1:2">
      <c r="A149" s="117">
        <v>45989</v>
      </c>
      <c r="B149" s="118">
        <v>39443.910000000003</v>
      </c>
    </row>
    <row r="150" spans="1:2">
      <c r="A150" s="117">
        <v>45988</v>
      </c>
      <c r="B150" s="118">
        <v>39462.93</v>
      </c>
    </row>
    <row r="151" spans="1:2">
      <c r="A151" s="117">
        <v>45987</v>
      </c>
      <c r="B151" s="118">
        <v>39447.49</v>
      </c>
    </row>
    <row r="152" spans="1:2">
      <c r="A152" s="117">
        <v>45986</v>
      </c>
      <c r="B152" s="118">
        <v>38965</v>
      </c>
    </row>
    <row r="153" spans="1:2">
      <c r="A153" s="117">
        <v>45985</v>
      </c>
      <c r="B153" s="118">
        <v>39077.5</v>
      </c>
    </row>
    <row r="154" spans="1:2">
      <c r="A154" s="117">
        <v>45982</v>
      </c>
      <c r="B154" s="118">
        <v>39241</v>
      </c>
    </row>
    <row r="155" spans="1:2">
      <c r="A155" s="117">
        <v>45981</v>
      </c>
      <c r="B155" s="118">
        <v>39427.65</v>
      </c>
    </row>
    <row r="156" spans="1:2">
      <c r="A156" s="117">
        <v>45980</v>
      </c>
      <c r="B156" s="118">
        <v>39217.69</v>
      </c>
    </row>
    <row r="157" spans="1:2">
      <c r="A157" s="117">
        <v>45979</v>
      </c>
      <c r="B157" s="118">
        <v>39003.01</v>
      </c>
    </row>
    <row r="158" spans="1:2">
      <c r="A158" s="117">
        <v>45978</v>
      </c>
      <c r="B158" s="118">
        <v>39157.99</v>
      </c>
    </row>
    <row r="159" spans="1:2">
      <c r="A159" s="117">
        <v>45975</v>
      </c>
      <c r="B159" s="118">
        <v>39002.370000000003</v>
      </c>
    </row>
    <row r="160" spans="1:2">
      <c r="A160" s="117">
        <v>45974</v>
      </c>
      <c r="B160" s="118">
        <v>38955.83</v>
      </c>
    </row>
    <row r="161" spans="1:2">
      <c r="A161" s="117">
        <v>45973</v>
      </c>
      <c r="B161" s="118">
        <v>38950.78</v>
      </c>
    </row>
    <row r="162" spans="1:2">
      <c r="A162" s="117">
        <v>45972</v>
      </c>
      <c r="B162" s="118">
        <v>38678.54</v>
      </c>
    </row>
    <row r="163" spans="1:2">
      <c r="A163" s="117">
        <v>45971</v>
      </c>
      <c r="B163" s="118">
        <v>38497.01</v>
      </c>
    </row>
    <row r="164" spans="1:2">
      <c r="A164" s="117">
        <v>45968</v>
      </c>
      <c r="B164" s="118">
        <v>38366.879999999997</v>
      </c>
    </row>
    <row r="165" spans="1:2">
      <c r="A165" s="117">
        <v>45967</v>
      </c>
      <c r="B165" s="118">
        <v>38381.019999999997</v>
      </c>
    </row>
    <row r="166" spans="1:2">
      <c r="A166" s="117">
        <v>45965</v>
      </c>
      <c r="B166" s="118">
        <v>38513.370000000003</v>
      </c>
    </row>
    <row r="167" spans="1:2">
      <c r="A167" s="117">
        <v>45964</v>
      </c>
      <c r="B167" s="118">
        <v>38762.65</v>
      </c>
    </row>
    <row r="168" spans="1:2">
      <c r="A168" s="117">
        <v>45961</v>
      </c>
      <c r="B168" s="118">
        <v>38700.6</v>
      </c>
    </row>
    <row r="169" spans="1:2">
      <c r="A169" s="117">
        <v>45960</v>
      </c>
      <c r="B169" s="118">
        <v>38934.92</v>
      </c>
    </row>
    <row r="170" spans="1:2">
      <c r="A170" s="117">
        <v>45959</v>
      </c>
      <c r="B170" s="118">
        <v>39199.800000000003</v>
      </c>
    </row>
    <row r="171" spans="1:2">
      <c r="A171" s="117">
        <v>45958</v>
      </c>
      <c r="B171" s="118">
        <v>39022.730000000003</v>
      </c>
    </row>
    <row r="172" spans="1:2">
      <c r="A172" s="117">
        <v>45957</v>
      </c>
      <c r="B172" s="118">
        <v>39067.589999999997</v>
      </c>
    </row>
    <row r="173" spans="1:2">
      <c r="A173" s="117">
        <v>45954</v>
      </c>
      <c r="B173" s="118">
        <v>38783.54</v>
      </c>
    </row>
    <row r="174" spans="1:2">
      <c r="A174" s="117">
        <v>45953</v>
      </c>
      <c r="B174" s="118">
        <v>38928.230000000003</v>
      </c>
    </row>
    <row r="175" spans="1:2">
      <c r="A175" s="117">
        <v>45951</v>
      </c>
      <c r="B175" s="118">
        <v>38893.949999999997</v>
      </c>
    </row>
    <row r="176" spans="1:2">
      <c r="A176" s="117">
        <v>45950</v>
      </c>
      <c r="B176" s="118">
        <v>38855.68</v>
      </c>
    </row>
    <row r="177" spans="1:2">
      <c r="A177" s="117">
        <v>45947</v>
      </c>
      <c r="B177" s="118">
        <v>38652.19</v>
      </c>
    </row>
    <row r="178" spans="1:2">
      <c r="A178" s="117">
        <v>45946</v>
      </c>
      <c r="B178" s="118">
        <v>38460.730000000003</v>
      </c>
    </row>
    <row r="179" spans="1:2">
      <c r="A179" s="117">
        <v>45945</v>
      </c>
      <c r="B179" s="118">
        <v>38067.31</v>
      </c>
    </row>
    <row r="180" spans="1:2">
      <c r="A180" s="117">
        <v>45944</v>
      </c>
      <c r="B180" s="118">
        <v>37795.97</v>
      </c>
    </row>
    <row r="181" spans="1:2">
      <c r="A181" s="117">
        <v>45943</v>
      </c>
      <c r="B181" s="118">
        <v>37918.980000000003</v>
      </c>
    </row>
    <row r="182" spans="1:2">
      <c r="A182" s="117">
        <v>45940</v>
      </c>
      <c r="B182" s="118">
        <v>38006.18</v>
      </c>
    </row>
    <row r="183" spans="1:2">
      <c r="A183" s="117">
        <v>45939</v>
      </c>
      <c r="B183" s="118">
        <v>37850.519999999997</v>
      </c>
    </row>
    <row r="184" spans="1:2">
      <c r="A184" s="117">
        <v>45938</v>
      </c>
      <c r="B184" s="118">
        <v>37646.65</v>
      </c>
    </row>
    <row r="185" spans="1:2">
      <c r="A185" s="117">
        <v>45937</v>
      </c>
      <c r="B185" s="118">
        <v>37740.1</v>
      </c>
    </row>
    <row r="186" spans="1:2">
      <c r="A186" s="117">
        <v>45936</v>
      </c>
      <c r="B186" s="118">
        <v>37694.019999999997</v>
      </c>
    </row>
    <row r="187" spans="1:2">
      <c r="A187" s="117">
        <v>45933</v>
      </c>
      <c r="B187" s="118">
        <v>37418.300000000003</v>
      </c>
    </row>
    <row r="188" spans="1:2">
      <c r="A188" s="117">
        <v>45931</v>
      </c>
      <c r="B188" s="118">
        <v>37331.199999999997</v>
      </c>
    </row>
    <row r="189" spans="1:2">
      <c r="A189" s="117">
        <v>45930</v>
      </c>
      <c r="B189" s="118">
        <v>36992.699999999997</v>
      </c>
    </row>
    <row r="190" spans="1:2">
      <c r="A190" s="117">
        <v>45929</v>
      </c>
      <c r="B190" s="118">
        <v>37028.480000000003</v>
      </c>
    </row>
    <row r="191" spans="1:2">
      <c r="A191" s="117">
        <v>45926</v>
      </c>
      <c r="B191" s="118">
        <v>37058.300000000003</v>
      </c>
    </row>
    <row r="192" spans="1:2">
      <c r="A192" s="117">
        <v>45925</v>
      </c>
      <c r="B192" s="118">
        <v>37413.25</v>
      </c>
    </row>
    <row r="193" spans="1:2">
      <c r="A193" s="117">
        <v>45924</v>
      </c>
      <c r="B193" s="118">
        <v>37662.839999999997</v>
      </c>
    </row>
    <row r="194" spans="1:2">
      <c r="A194" s="117">
        <v>45923</v>
      </c>
      <c r="B194" s="118">
        <v>37832.089999999997</v>
      </c>
    </row>
    <row r="195" spans="1:2">
      <c r="A195" s="117">
        <v>45922</v>
      </c>
      <c r="B195" s="118">
        <v>37881.410000000003</v>
      </c>
    </row>
    <row r="196" spans="1:2">
      <c r="A196" s="117">
        <v>45919</v>
      </c>
      <c r="B196" s="118">
        <v>38068.839999999997</v>
      </c>
    </row>
    <row r="197" spans="1:2">
      <c r="A197" s="117">
        <v>45918</v>
      </c>
      <c r="B197" s="118">
        <v>38213.97</v>
      </c>
    </row>
    <row r="198" spans="1:2">
      <c r="A198" s="117">
        <v>45917</v>
      </c>
      <c r="B198" s="118">
        <v>38073.65</v>
      </c>
    </row>
    <row r="199" spans="1:2">
      <c r="A199" s="117">
        <v>45916</v>
      </c>
      <c r="B199" s="118">
        <v>37936.660000000003</v>
      </c>
    </row>
    <row r="200" spans="1:2">
      <c r="A200" s="117">
        <v>45915</v>
      </c>
      <c r="B200" s="118">
        <v>37681.33</v>
      </c>
    </row>
    <row r="201" spans="1:2">
      <c r="A201" s="117">
        <v>45912</v>
      </c>
      <c r="B201" s="118">
        <v>37748.61</v>
      </c>
    </row>
    <row r="202" spans="1:2">
      <c r="A202" s="117">
        <v>45911</v>
      </c>
      <c r="B202" s="118">
        <v>37585.519999999997</v>
      </c>
    </row>
    <row r="203" spans="1:2">
      <c r="A203" s="117">
        <v>45910</v>
      </c>
      <c r="B203" s="118">
        <v>37536.879999999997</v>
      </c>
    </row>
    <row r="204" spans="1:2">
      <c r="A204" s="117">
        <v>45909</v>
      </c>
      <c r="B204" s="118">
        <v>37379.78</v>
      </c>
    </row>
    <row r="205" spans="1:2">
      <c r="A205" s="117">
        <v>45908</v>
      </c>
      <c r="B205" s="118">
        <v>37236.28</v>
      </c>
    </row>
    <row r="206" spans="1:2">
      <c r="A206" s="117">
        <v>45905</v>
      </c>
      <c r="B206" s="118">
        <v>37188.019999999997</v>
      </c>
    </row>
    <row r="207" spans="1:2">
      <c r="A207" s="117">
        <v>45904</v>
      </c>
      <c r="B207" s="118">
        <v>37177.94</v>
      </c>
    </row>
    <row r="208" spans="1:2">
      <c r="A208" s="117">
        <v>45903</v>
      </c>
      <c r="B208" s="118">
        <v>37142.11</v>
      </c>
    </row>
    <row r="209" spans="1:2">
      <c r="A209" s="117">
        <v>45902</v>
      </c>
      <c r="B209" s="118">
        <v>36938.57</v>
      </c>
    </row>
    <row r="210" spans="1:2">
      <c r="A210" s="117">
        <v>45901</v>
      </c>
      <c r="B210" s="118">
        <v>37006.870000000003</v>
      </c>
    </row>
    <row r="211" spans="1:2">
      <c r="A211" s="117">
        <v>45898</v>
      </c>
      <c r="B211" s="118">
        <v>36709</v>
      </c>
    </row>
    <row r="212" spans="1:2">
      <c r="A212" s="117">
        <v>45897</v>
      </c>
      <c r="B212" s="118">
        <v>36820.25</v>
      </c>
    </row>
    <row r="213" spans="1:2">
      <c r="A213" s="117">
        <v>45895</v>
      </c>
      <c r="B213" s="118">
        <v>37137.57</v>
      </c>
    </row>
    <row r="214" spans="1:2">
      <c r="A214" s="117">
        <v>45894</v>
      </c>
      <c r="B214" s="118">
        <v>37521.9</v>
      </c>
    </row>
    <row r="215" spans="1:2">
      <c r="A215" s="117">
        <v>45891</v>
      </c>
      <c r="B215" s="118">
        <v>37375.089999999997</v>
      </c>
    </row>
    <row r="216" spans="1:2">
      <c r="A216" s="117">
        <v>45890</v>
      </c>
      <c r="B216" s="118">
        <v>37696.230000000003</v>
      </c>
    </row>
    <row r="217" spans="1:2">
      <c r="A217" s="117">
        <v>45889</v>
      </c>
      <c r="B217" s="118">
        <v>37642.410000000003</v>
      </c>
    </row>
    <row r="218" spans="1:2">
      <c r="A218" s="117">
        <v>45888</v>
      </c>
      <c r="B218" s="118">
        <v>37537.42</v>
      </c>
    </row>
    <row r="219" spans="1:2">
      <c r="A219" s="117">
        <v>45887</v>
      </c>
      <c r="B219" s="118">
        <v>37379.379999999997</v>
      </c>
    </row>
    <row r="220" spans="1:2">
      <c r="A220" s="117">
        <v>45883</v>
      </c>
      <c r="B220" s="118">
        <v>37010.269999999997</v>
      </c>
    </row>
    <row r="221" spans="1:2">
      <c r="A221" s="117">
        <v>45882</v>
      </c>
      <c r="B221" s="118">
        <v>36978.89</v>
      </c>
    </row>
    <row r="222" spans="1:2">
      <c r="A222" s="117">
        <v>45881</v>
      </c>
      <c r="B222" s="118">
        <v>36780.730000000003</v>
      </c>
    </row>
    <row r="223" spans="1:2">
      <c r="A223" s="117">
        <v>45880</v>
      </c>
      <c r="B223" s="118">
        <v>36900.03</v>
      </c>
    </row>
    <row r="224" spans="1:2">
      <c r="A224" s="117">
        <v>45877</v>
      </c>
      <c r="B224" s="118">
        <v>36566.629999999997</v>
      </c>
    </row>
    <row r="225" spans="1:2">
      <c r="A225" s="117">
        <v>45876</v>
      </c>
      <c r="B225" s="118">
        <v>36913.760000000002</v>
      </c>
    </row>
    <row r="226" spans="1:2">
      <c r="A226" s="117">
        <v>45875</v>
      </c>
      <c r="B226" s="118">
        <v>36880.81</v>
      </c>
    </row>
    <row r="227" spans="1:2">
      <c r="A227" s="117">
        <v>45874</v>
      </c>
      <c r="B227" s="118">
        <v>36989.75</v>
      </c>
    </row>
    <row r="228" spans="1:2">
      <c r="A228" s="117">
        <v>45873</v>
      </c>
      <c r="B228" s="118">
        <v>37099.550000000003</v>
      </c>
    </row>
    <row r="229" spans="1:2">
      <c r="A229" s="117">
        <v>45870</v>
      </c>
      <c r="B229" s="118">
        <v>36863.4</v>
      </c>
    </row>
    <row r="230" spans="1:2">
      <c r="A230" s="117">
        <v>45869</v>
      </c>
      <c r="B230" s="118">
        <v>37158.879999999997</v>
      </c>
    </row>
    <row r="231" spans="1:2">
      <c r="A231" s="117">
        <v>45868</v>
      </c>
      <c r="B231" s="118">
        <v>37288.94</v>
      </c>
    </row>
    <row r="232" spans="1:2">
      <c r="A232" s="117">
        <v>45867</v>
      </c>
      <c r="B232" s="118">
        <v>37238.03</v>
      </c>
    </row>
    <row r="233" spans="1:2">
      <c r="A233" s="117">
        <v>45866</v>
      </c>
      <c r="B233" s="118">
        <v>37027.65</v>
      </c>
    </row>
    <row r="234" spans="1:2">
      <c r="A234" s="117">
        <v>45863</v>
      </c>
      <c r="B234" s="118">
        <v>37257.14</v>
      </c>
    </row>
    <row r="235" spans="1:2">
      <c r="A235" s="117">
        <v>45862</v>
      </c>
      <c r="B235" s="118">
        <v>37578.97</v>
      </c>
    </row>
    <row r="236" spans="1:2">
      <c r="A236" s="117">
        <v>45861</v>
      </c>
      <c r="B236" s="118">
        <v>37812.76</v>
      </c>
    </row>
    <row r="237" spans="1:2">
      <c r="A237" s="117">
        <v>45860</v>
      </c>
      <c r="B237" s="118">
        <v>37574.379999999997</v>
      </c>
    </row>
    <row r="238" spans="1:2">
      <c r="A238" s="117">
        <v>45859</v>
      </c>
      <c r="B238" s="118">
        <v>37619.089999999997</v>
      </c>
    </row>
    <row r="239" spans="1:2">
      <c r="A239" s="117">
        <v>45856</v>
      </c>
      <c r="B239" s="118">
        <v>37435.72</v>
      </c>
    </row>
    <row r="240" spans="1:2">
      <c r="A240" s="117">
        <v>45855</v>
      </c>
      <c r="B240" s="118">
        <v>37630.21</v>
      </c>
    </row>
    <row r="241" spans="1:2">
      <c r="A241" s="117">
        <v>45854</v>
      </c>
      <c r="B241" s="118">
        <v>37780.94</v>
      </c>
    </row>
    <row r="242" spans="1:2">
      <c r="A242" s="117">
        <v>45853</v>
      </c>
      <c r="B242" s="118">
        <v>37752.92</v>
      </c>
    </row>
    <row r="243" spans="1:2">
      <c r="A243" s="117">
        <v>45852</v>
      </c>
      <c r="B243" s="118">
        <v>37582.839999999997</v>
      </c>
    </row>
    <row r="244" spans="1:2">
      <c r="A244" s="117">
        <v>45849</v>
      </c>
      <c r="B244" s="118">
        <v>37684.07</v>
      </c>
    </row>
    <row r="245" spans="1:2">
      <c r="A245" s="117">
        <v>45848</v>
      </c>
      <c r="B245" s="118">
        <v>37990.410000000003</v>
      </c>
    </row>
    <row r="246" spans="1:2">
      <c r="A246" s="117">
        <v>45847</v>
      </c>
      <c r="B246" s="118">
        <v>38169.85</v>
      </c>
    </row>
    <row r="247" spans="1:2">
      <c r="A247" s="117">
        <v>45846</v>
      </c>
      <c r="B247" s="118">
        <v>38239.39</v>
      </c>
    </row>
    <row r="248" spans="1:2">
      <c r="A248" s="117">
        <v>45845</v>
      </c>
      <c r="B248" s="118">
        <v>38145.33</v>
      </c>
    </row>
    <row r="249" spans="1:2">
      <c r="A249" s="117">
        <v>45842</v>
      </c>
      <c r="B249" s="118">
        <v>38142.94</v>
      </c>
    </row>
    <row r="250" spans="1:2">
      <c r="A250" s="117">
        <v>45841</v>
      </c>
      <c r="B250" s="118">
        <v>38049.97</v>
      </c>
    </row>
    <row r="251" spans="1:2">
      <c r="A251" s="117">
        <v>45840</v>
      </c>
      <c r="B251" s="118">
        <v>38121.99</v>
      </c>
    </row>
    <row r="252" spans="1:2">
      <c r="A252" s="117">
        <v>45839</v>
      </c>
      <c r="B252" s="118">
        <v>38254.39</v>
      </c>
    </row>
    <row r="253" spans="1:2">
      <c r="A253" s="119">
        <v>45838</v>
      </c>
      <c r="B253" s="120">
        <v>38217.32</v>
      </c>
    </row>
    <row r="254" spans="1:2">
      <c r="A254" s="119">
        <v>45835</v>
      </c>
      <c r="B254" s="120">
        <v>38398.230000000003</v>
      </c>
    </row>
    <row r="255" spans="1:2">
      <c r="A255" s="119">
        <v>45834</v>
      </c>
      <c r="B255" s="120">
        <v>38206.879999999997</v>
      </c>
    </row>
    <row r="256" spans="1:2">
      <c r="A256" s="119">
        <v>45833</v>
      </c>
      <c r="B256" s="120">
        <v>37751.94</v>
      </c>
    </row>
    <row r="257" spans="1:2">
      <c r="A257" s="119">
        <v>45832</v>
      </c>
      <c r="B257" s="120">
        <v>37452.239999999998</v>
      </c>
    </row>
    <row r="258" spans="1:2">
      <c r="A258" s="119">
        <v>45831</v>
      </c>
      <c r="B258" s="120">
        <v>37343.910000000003</v>
      </c>
    </row>
    <row r="259" spans="1:2">
      <c r="A259" s="119">
        <v>45828</v>
      </c>
      <c r="B259" s="120">
        <v>37546.89</v>
      </c>
    </row>
    <row r="260" spans="1:2">
      <c r="A260" s="119">
        <v>45827</v>
      </c>
      <c r="B260" s="120">
        <v>37069.019999999997</v>
      </c>
    </row>
    <row r="261" spans="1:2">
      <c r="A261" s="119">
        <v>45826</v>
      </c>
      <c r="B261" s="120">
        <v>37097.129999999997</v>
      </c>
    </row>
    <row r="262" spans="1:2">
      <c r="A262" s="119">
        <v>45825</v>
      </c>
      <c r="B262" s="120">
        <v>37158.949999999997</v>
      </c>
    </row>
    <row r="263" spans="1:2">
      <c r="A263" s="119">
        <v>45824</v>
      </c>
      <c r="B263" s="120">
        <v>37298.120000000003</v>
      </c>
    </row>
    <row r="264" spans="1:2">
      <c r="A264" s="119">
        <v>45821</v>
      </c>
      <c r="B264" s="120">
        <v>36957.379999999997</v>
      </c>
    </row>
    <row r="265" spans="1:2">
      <c r="A265" s="119">
        <v>45820</v>
      </c>
      <c r="B265" s="120">
        <v>37209.11</v>
      </c>
    </row>
    <row r="266" spans="1:2">
      <c r="A266" s="119">
        <v>45819</v>
      </c>
      <c r="B266" s="120">
        <v>37587.31</v>
      </c>
    </row>
    <row r="267" spans="1:2">
      <c r="A267" s="119">
        <v>45818</v>
      </c>
      <c r="B267" s="120">
        <v>37531.760000000002</v>
      </c>
    </row>
    <row r="268" spans="1:2">
      <c r="A268" s="119">
        <v>45817</v>
      </c>
      <c r="B268" s="120">
        <v>37527.120000000003</v>
      </c>
    </row>
    <row r="269" spans="1:2">
      <c r="A269" s="119">
        <v>45814</v>
      </c>
      <c r="B269" s="120">
        <v>37377.42</v>
      </c>
    </row>
    <row r="270" spans="1:2">
      <c r="A270" s="119">
        <v>45813</v>
      </c>
      <c r="B270" s="120">
        <v>37000.49</v>
      </c>
    </row>
    <row r="271" spans="1:2">
      <c r="A271" s="119">
        <v>45812</v>
      </c>
      <c r="B271" s="120">
        <v>36805.089999999997</v>
      </c>
    </row>
    <row r="272" spans="1:2">
      <c r="A272" s="119">
        <v>45811</v>
      </c>
      <c r="B272" s="120">
        <v>36674.69</v>
      </c>
    </row>
    <row r="273" spans="1:2">
      <c r="A273" s="119">
        <v>45810</v>
      </c>
      <c r="B273" s="120">
        <v>36921.620000000003</v>
      </c>
    </row>
    <row r="274" spans="1:2">
      <c r="A274" s="119">
        <v>45807</v>
      </c>
      <c r="B274" s="120">
        <v>36972.5</v>
      </c>
    </row>
    <row r="275" spans="1:2">
      <c r="A275" s="119">
        <v>45806</v>
      </c>
      <c r="B275" s="120">
        <v>37066.339999999997</v>
      </c>
    </row>
    <row r="276" spans="1:2">
      <c r="A276" s="119">
        <v>45805</v>
      </c>
      <c r="B276" s="120">
        <v>36943.42</v>
      </c>
    </row>
    <row r="277" spans="1:2">
      <c r="A277" s="119">
        <v>45804</v>
      </c>
      <c r="B277" s="120">
        <v>37029.33</v>
      </c>
    </row>
    <row r="278" spans="1:2">
      <c r="A278" s="119">
        <v>45803</v>
      </c>
      <c r="B278" s="120">
        <v>37290.300000000003</v>
      </c>
    </row>
    <row r="279" spans="1:2">
      <c r="A279" s="119">
        <v>45800</v>
      </c>
      <c r="B279" s="120">
        <v>37069.550000000003</v>
      </c>
    </row>
    <row r="280" spans="1:2">
      <c r="A280" s="119">
        <v>45799</v>
      </c>
      <c r="B280" s="120">
        <v>36706.44</v>
      </c>
    </row>
    <row r="281" spans="1:2">
      <c r="A281" s="119">
        <v>45798</v>
      </c>
      <c r="B281" s="120">
        <v>37010.35</v>
      </c>
    </row>
    <row r="282" spans="1:2">
      <c r="A282" s="119">
        <v>45797</v>
      </c>
      <c r="B282" s="120">
        <v>36817.14</v>
      </c>
    </row>
    <row r="283" spans="1:2">
      <c r="A283" s="119">
        <v>45796</v>
      </c>
      <c r="B283" s="120">
        <v>37207.25</v>
      </c>
    </row>
    <row r="284" spans="1:2">
      <c r="A284" s="119">
        <v>45793</v>
      </c>
      <c r="B284" s="120">
        <v>37318.129999999997</v>
      </c>
    </row>
    <row r="285" spans="1:2">
      <c r="A285" s="119">
        <v>45792</v>
      </c>
      <c r="B285" s="120">
        <v>37361.050000000003</v>
      </c>
    </row>
    <row r="286" spans="1:2">
      <c r="A286" s="119">
        <v>45791</v>
      </c>
      <c r="B286" s="120">
        <v>36771.94</v>
      </c>
    </row>
    <row r="287" spans="1:2">
      <c r="A287" s="119">
        <v>45790</v>
      </c>
      <c r="B287" s="120">
        <v>36639.870000000003</v>
      </c>
    </row>
    <row r="288" spans="1:2">
      <c r="A288" s="119">
        <v>45789</v>
      </c>
      <c r="B288" s="120">
        <v>37156.25</v>
      </c>
    </row>
    <row r="289" spans="1:2">
      <c r="A289" s="119">
        <v>45786</v>
      </c>
      <c r="B289" s="120">
        <v>35789.629999999997</v>
      </c>
    </row>
    <row r="290" spans="1:2">
      <c r="A290" s="119">
        <v>45785</v>
      </c>
      <c r="B290" s="120">
        <v>36184.82</v>
      </c>
    </row>
    <row r="291" spans="1:2">
      <c r="A291" s="119">
        <v>45784</v>
      </c>
      <c r="B291" s="120">
        <v>36394.46</v>
      </c>
    </row>
    <row r="292" spans="1:2">
      <c r="A292" s="119">
        <v>45783</v>
      </c>
      <c r="B292" s="120">
        <v>36342.6</v>
      </c>
    </row>
    <row r="293" spans="1:2">
      <c r="A293" s="119">
        <v>45782</v>
      </c>
      <c r="B293" s="120">
        <v>36464.1</v>
      </c>
    </row>
    <row r="294" spans="1:2">
      <c r="A294" s="119">
        <v>45779</v>
      </c>
      <c r="B294" s="120">
        <v>36293.51</v>
      </c>
    </row>
    <row r="295" spans="1:2">
      <c r="A295" s="119">
        <v>45777</v>
      </c>
      <c r="B295" s="120">
        <v>36274.870000000003</v>
      </c>
    </row>
    <row r="296" spans="1:2">
      <c r="A296" s="119">
        <v>45776</v>
      </c>
      <c r="B296" s="120">
        <v>36277.480000000003</v>
      </c>
    </row>
    <row r="297" spans="1:2">
      <c r="A297" s="119">
        <v>45775</v>
      </c>
      <c r="B297" s="120">
        <v>36266.410000000003</v>
      </c>
    </row>
    <row r="298" spans="1:2">
      <c r="A298" s="119">
        <v>45772</v>
      </c>
      <c r="B298" s="120">
        <v>35829.160000000003</v>
      </c>
    </row>
    <row r="299" spans="1:2">
      <c r="A299" s="119">
        <v>45771</v>
      </c>
      <c r="B299" s="120">
        <v>36138.21</v>
      </c>
    </row>
    <row r="300" spans="1:2">
      <c r="A300" s="119">
        <v>45770</v>
      </c>
      <c r="B300" s="120">
        <v>36260.74</v>
      </c>
    </row>
    <row r="301" spans="1:2">
      <c r="A301" s="119">
        <v>45769</v>
      </c>
      <c r="B301" s="120">
        <v>36019.75</v>
      </c>
    </row>
    <row r="302" spans="1:2">
      <c r="A302" s="119">
        <v>45768</v>
      </c>
      <c r="B302" s="120">
        <v>35957.620000000003</v>
      </c>
    </row>
    <row r="303" spans="1:2">
      <c r="A303" s="119">
        <v>45764</v>
      </c>
      <c r="B303" s="120">
        <v>35549.39</v>
      </c>
    </row>
    <row r="304" spans="1:2">
      <c r="A304" s="119">
        <v>45763</v>
      </c>
      <c r="B304" s="120">
        <v>34931.660000000003</v>
      </c>
    </row>
    <row r="305" spans="1:2">
      <c r="A305" s="119">
        <v>45762</v>
      </c>
      <c r="B305" s="120">
        <v>34769.71</v>
      </c>
    </row>
    <row r="306" spans="1:2">
      <c r="A306" s="119">
        <v>45758</v>
      </c>
      <c r="B306" s="120">
        <v>34024.5</v>
      </c>
    </row>
    <row r="307" spans="1:2">
      <c r="A307" s="119">
        <v>45756</v>
      </c>
      <c r="B307" s="120">
        <v>33384.559999999998</v>
      </c>
    </row>
    <row r="308" spans="1:2">
      <c r="A308" s="119">
        <v>45755</v>
      </c>
      <c r="B308" s="120">
        <v>33588.28</v>
      </c>
    </row>
    <row r="309" spans="1:2">
      <c r="A309" s="119">
        <v>45754</v>
      </c>
      <c r="B309" s="120">
        <v>33030.49</v>
      </c>
    </row>
    <row r="310" spans="1:2">
      <c r="A310" s="119">
        <v>45751</v>
      </c>
      <c r="B310" s="120">
        <v>34137.61</v>
      </c>
    </row>
    <row r="311" spans="1:2">
      <c r="A311" s="119">
        <v>45750</v>
      </c>
      <c r="B311" s="120">
        <v>34652.839999999997</v>
      </c>
    </row>
    <row r="312" spans="1:2">
      <c r="A312" s="119">
        <v>45749</v>
      </c>
      <c r="B312" s="120">
        <v>34775.4</v>
      </c>
    </row>
    <row r="313" spans="1:2">
      <c r="A313" s="119">
        <v>45748</v>
      </c>
      <c r="B313" s="120">
        <v>34527.01</v>
      </c>
    </row>
    <row r="314" spans="1:2">
      <c r="A314" s="119">
        <v>45744</v>
      </c>
      <c r="B314" s="120">
        <v>35054.080000000002</v>
      </c>
    </row>
    <row r="315" spans="1:2">
      <c r="A315" s="119">
        <v>45743</v>
      </c>
      <c r="B315" s="120">
        <v>35162.32</v>
      </c>
    </row>
    <row r="316" spans="1:2">
      <c r="A316" s="119">
        <v>45742</v>
      </c>
      <c r="B316" s="120">
        <v>35005.67</v>
      </c>
    </row>
    <row r="317" spans="1:2">
      <c r="A317" s="119">
        <v>45741</v>
      </c>
      <c r="B317" s="120">
        <v>35276.65</v>
      </c>
    </row>
    <row r="318" spans="1:2">
      <c r="A318" s="119">
        <v>45740</v>
      </c>
      <c r="B318" s="120">
        <v>35261.269999999997</v>
      </c>
    </row>
    <row r="319" spans="1:2">
      <c r="A319" s="119">
        <v>45737</v>
      </c>
      <c r="B319" s="120">
        <v>34802.300000000003</v>
      </c>
    </row>
    <row r="320" spans="1:2">
      <c r="A320" s="119">
        <v>45736</v>
      </c>
      <c r="B320" s="120">
        <v>34564.18</v>
      </c>
    </row>
    <row r="321" spans="1:2">
      <c r="A321" s="119">
        <v>45735</v>
      </c>
      <c r="B321" s="120">
        <v>34142.35</v>
      </c>
    </row>
    <row r="322" spans="1:2">
      <c r="A322" s="119">
        <v>45734</v>
      </c>
      <c r="B322" s="120">
        <v>34033.06</v>
      </c>
    </row>
    <row r="323" spans="1:2">
      <c r="A323" s="119">
        <v>45733</v>
      </c>
      <c r="B323" s="120">
        <v>33547.879999999997</v>
      </c>
    </row>
    <row r="324" spans="1:2">
      <c r="A324" s="119">
        <v>45729</v>
      </c>
      <c r="B324" s="120">
        <v>33381.620000000003</v>
      </c>
    </row>
    <row r="325" spans="1:2">
      <c r="A325" s="119">
        <v>45728</v>
      </c>
      <c r="B325" s="120">
        <v>33490.870000000003</v>
      </c>
    </row>
    <row r="326" spans="1:2">
      <c r="A326" s="119">
        <v>45727</v>
      </c>
      <c r="B326" s="120">
        <v>33531.68</v>
      </c>
    </row>
    <row r="327" spans="1:2">
      <c r="A327" s="119">
        <v>45726</v>
      </c>
      <c r="B327" s="120">
        <v>33473.919999999998</v>
      </c>
    </row>
    <row r="328" spans="1:2">
      <c r="A328" s="119">
        <v>45723</v>
      </c>
      <c r="B328" s="120">
        <v>33611.300000000003</v>
      </c>
    </row>
    <row r="329" spans="1:2">
      <c r="A329" s="119">
        <v>45722</v>
      </c>
      <c r="B329" s="120">
        <v>33599.300000000003</v>
      </c>
    </row>
    <row r="330" spans="1:2">
      <c r="A330" s="119">
        <v>45721</v>
      </c>
      <c r="B330" s="120">
        <v>33290.199999999997</v>
      </c>
    </row>
    <row r="331" spans="1:2">
      <c r="A331" s="119">
        <v>45720</v>
      </c>
      <c r="B331" s="120">
        <v>32910.629999999997</v>
      </c>
    </row>
    <row r="332" spans="1:2">
      <c r="A332" s="119">
        <v>45719</v>
      </c>
      <c r="B332" s="120">
        <v>32965.25</v>
      </c>
    </row>
    <row r="333" spans="1:2">
      <c r="A333" s="119">
        <v>45716</v>
      </c>
      <c r="B333" s="120">
        <v>32973.360000000001</v>
      </c>
    </row>
    <row r="334" spans="1:2">
      <c r="A334" s="119">
        <v>45715</v>
      </c>
      <c r="B334" s="120">
        <v>33599.79</v>
      </c>
    </row>
    <row r="335" spans="1:2">
      <c r="A335" s="119">
        <v>45713</v>
      </c>
      <c r="B335" s="120">
        <v>33603.550000000003</v>
      </c>
    </row>
    <row r="336" spans="1:2">
      <c r="A336" s="119">
        <v>45712</v>
      </c>
      <c r="B336" s="120">
        <v>33612.18</v>
      </c>
    </row>
    <row r="337" spans="1:2">
      <c r="A337" s="119">
        <v>45709</v>
      </c>
      <c r="B337" s="120">
        <v>33973.61</v>
      </c>
    </row>
    <row r="338" spans="1:2">
      <c r="A338" s="119">
        <v>45708</v>
      </c>
      <c r="B338" s="120">
        <v>34148.36</v>
      </c>
    </row>
    <row r="339" spans="1:2">
      <c r="A339" s="119">
        <v>45707</v>
      </c>
      <c r="B339" s="120">
        <v>34177.82</v>
      </c>
    </row>
    <row r="340" spans="1:2">
      <c r="A340" s="119">
        <v>45706</v>
      </c>
      <c r="B340" s="120">
        <v>34196.32</v>
      </c>
    </row>
    <row r="341" spans="1:2">
      <c r="A341" s="119">
        <v>45705</v>
      </c>
      <c r="B341" s="120">
        <v>34217.480000000003</v>
      </c>
    </row>
    <row r="342" spans="1:2">
      <c r="A342" s="119">
        <v>45702</v>
      </c>
      <c r="B342" s="120">
        <v>34172.379999999997</v>
      </c>
    </row>
    <row r="343" spans="1:2">
      <c r="A343" s="119">
        <v>45701</v>
      </c>
      <c r="B343" s="120">
        <v>34324.31</v>
      </c>
    </row>
    <row r="344" spans="1:2">
      <c r="A344" s="119">
        <v>45700</v>
      </c>
      <c r="B344" s="120">
        <v>34344.93</v>
      </c>
    </row>
    <row r="345" spans="1:2">
      <c r="A345" s="119">
        <v>45699</v>
      </c>
      <c r="B345" s="120">
        <v>34364.39</v>
      </c>
    </row>
    <row r="346" spans="1:2">
      <c r="A346" s="119">
        <v>45698</v>
      </c>
      <c r="B346" s="120">
        <v>34825.870000000003</v>
      </c>
    </row>
    <row r="347" spans="1:2">
      <c r="A347" s="119">
        <v>45695</v>
      </c>
      <c r="B347" s="120">
        <v>35091.5</v>
      </c>
    </row>
    <row r="348" spans="1:2">
      <c r="A348" s="119">
        <v>45694</v>
      </c>
      <c r="B348" s="120">
        <v>35143.08</v>
      </c>
    </row>
    <row r="349" spans="1:2">
      <c r="A349" s="119">
        <v>45693</v>
      </c>
      <c r="B349" s="120">
        <v>35277.699999999997</v>
      </c>
    </row>
    <row r="350" spans="1:2">
      <c r="A350" s="119">
        <v>45692</v>
      </c>
      <c r="B350" s="120">
        <v>35341.64</v>
      </c>
    </row>
    <row r="351" spans="1:2">
      <c r="A351" s="119">
        <v>45691</v>
      </c>
      <c r="B351" s="120">
        <v>34778.660000000003</v>
      </c>
    </row>
    <row r="352" spans="1:2">
      <c r="A352" s="119">
        <v>45689</v>
      </c>
      <c r="B352" s="120">
        <v>34958.89</v>
      </c>
    </row>
    <row r="353" spans="1:2">
      <c r="A353" s="119">
        <v>45688</v>
      </c>
      <c r="B353" s="120">
        <v>34998.01</v>
      </c>
    </row>
    <row r="354" spans="1:2">
      <c r="A354" s="119">
        <v>45687</v>
      </c>
      <c r="B354" s="120">
        <v>34603.4</v>
      </c>
    </row>
    <row r="355" spans="1:2">
      <c r="A355" s="119">
        <v>45686</v>
      </c>
      <c r="B355" s="120">
        <v>34474.800000000003</v>
      </c>
    </row>
    <row r="356" spans="1:2">
      <c r="A356" s="119">
        <v>45685</v>
      </c>
      <c r="B356" s="120">
        <v>34165.22</v>
      </c>
    </row>
    <row r="357" spans="1:2">
      <c r="A357" s="119">
        <v>45684</v>
      </c>
      <c r="B357" s="120">
        <v>33974.58</v>
      </c>
    </row>
    <row r="358" spans="1:2">
      <c r="A358" s="119">
        <v>45681</v>
      </c>
      <c r="B358" s="120">
        <v>34366.04</v>
      </c>
    </row>
    <row r="359" spans="1:2">
      <c r="A359" s="119">
        <v>45680</v>
      </c>
      <c r="B359" s="120">
        <v>34534.46</v>
      </c>
    </row>
    <row r="360" spans="1:2">
      <c r="A360" s="119">
        <v>45679</v>
      </c>
      <c r="B360" s="120">
        <v>34460.03</v>
      </c>
    </row>
    <row r="361" spans="1:2">
      <c r="A361" s="119">
        <v>45678</v>
      </c>
      <c r="B361" s="120">
        <v>34265.550000000003</v>
      </c>
    </row>
    <row r="362" spans="1:2">
      <c r="A362" s="119">
        <v>45677</v>
      </c>
      <c r="B362" s="120">
        <v>34741.89</v>
      </c>
    </row>
    <row r="363" spans="1:2">
      <c r="A363" s="119">
        <v>45674</v>
      </c>
      <c r="B363" s="120">
        <v>34531.21</v>
      </c>
    </row>
    <row r="364" spans="1:2">
      <c r="A364" s="119">
        <v>45673</v>
      </c>
      <c r="B364" s="120">
        <v>34660.67</v>
      </c>
    </row>
    <row r="365" spans="1:2">
      <c r="A365" s="119">
        <v>45672</v>
      </c>
      <c r="B365" s="120">
        <v>34514.06</v>
      </c>
    </row>
    <row r="366" spans="1:2">
      <c r="A366" s="119">
        <v>45671</v>
      </c>
      <c r="B366" s="120">
        <v>34458.870000000003</v>
      </c>
    </row>
    <row r="367" spans="1:2">
      <c r="A367" s="119">
        <v>45670</v>
      </c>
      <c r="B367" s="120">
        <v>34324.870000000003</v>
      </c>
    </row>
    <row r="368" spans="1:2">
      <c r="A368" s="119">
        <v>45667</v>
      </c>
      <c r="B368" s="120">
        <v>34838.660000000003</v>
      </c>
    </row>
    <row r="369" spans="1:2">
      <c r="A369" s="119">
        <v>45666</v>
      </c>
      <c r="B369" s="120">
        <v>34979.910000000003</v>
      </c>
    </row>
    <row r="370" spans="1:2">
      <c r="A370" s="119">
        <v>45665</v>
      </c>
      <c r="B370" s="120">
        <v>35221.43</v>
      </c>
    </row>
    <row r="371" spans="1:2">
      <c r="A371" s="119">
        <v>45664</v>
      </c>
      <c r="B371" s="120">
        <v>35249.64</v>
      </c>
    </row>
    <row r="372" spans="1:2">
      <c r="A372" s="119">
        <v>45663</v>
      </c>
      <c r="B372" s="120">
        <v>35113.040000000001</v>
      </c>
    </row>
    <row r="373" spans="1:2">
      <c r="A373" s="119">
        <v>45660</v>
      </c>
      <c r="B373" s="120">
        <v>35690.959999999999</v>
      </c>
    </row>
    <row r="374" spans="1:2">
      <c r="A374" s="119">
        <v>45659</v>
      </c>
      <c r="B374" s="120">
        <v>35964.43</v>
      </c>
    </row>
    <row r="375" spans="1:2">
      <c r="A375" s="119">
        <v>45658</v>
      </c>
      <c r="B375" s="120">
        <v>35301.629999999997</v>
      </c>
    </row>
    <row r="376" spans="1:2">
      <c r="A376" s="119">
        <v>45657</v>
      </c>
      <c r="B376" s="120">
        <v>35155.769999999997</v>
      </c>
    </row>
    <row r="377" spans="1:2">
      <c r="A377" s="119">
        <v>45656</v>
      </c>
      <c r="B377" s="120">
        <v>35155.94</v>
      </c>
    </row>
    <row r="378" spans="1:2">
      <c r="A378" s="119">
        <v>45653</v>
      </c>
      <c r="B378" s="120">
        <v>35406.5</v>
      </c>
    </row>
    <row r="379" spans="1:2">
      <c r="A379" s="119">
        <v>45652</v>
      </c>
      <c r="B379" s="120">
        <v>35312.5</v>
      </c>
    </row>
    <row r="380" spans="1:2">
      <c r="A380" s="119">
        <v>45650</v>
      </c>
      <c r="B380" s="120">
        <v>35278.97</v>
      </c>
    </row>
    <row r="381" spans="1:2">
      <c r="A381" s="119">
        <v>45649</v>
      </c>
      <c r="B381" s="120">
        <v>35317.360000000001</v>
      </c>
    </row>
    <row r="382" spans="1:2">
      <c r="A382" s="119">
        <v>45646</v>
      </c>
      <c r="B382" s="120">
        <v>35070.589999999997</v>
      </c>
    </row>
    <row r="383" spans="1:2">
      <c r="A383" s="119">
        <v>45645</v>
      </c>
      <c r="B383" s="120">
        <v>35612.11</v>
      </c>
    </row>
    <row r="384" spans="1:2">
      <c r="A384" s="119">
        <v>45644</v>
      </c>
      <c r="B384" s="120">
        <v>35979.58</v>
      </c>
    </row>
    <row r="385" spans="1:2">
      <c r="A385" s="119">
        <v>45643</v>
      </c>
      <c r="B385" s="120">
        <v>36183.53</v>
      </c>
    </row>
    <row r="386" spans="1:2">
      <c r="A386" s="119">
        <v>45642</v>
      </c>
      <c r="B386" s="120">
        <v>36677.480000000003</v>
      </c>
    </row>
    <row r="387" spans="1:2">
      <c r="A387" s="119">
        <v>45639</v>
      </c>
      <c r="B387" s="120">
        <v>36826.269999999997</v>
      </c>
    </row>
    <row r="388" spans="1:2">
      <c r="A388" s="119">
        <v>45638</v>
      </c>
      <c r="B388" s="120">
        <v>36499.75</v>
      </c>
    </row>
    <row r="389" spans="1:2">
      <c r="A389" s="119">
        <v>45637</v>
      </c>
      <c r="B389" s="120">
        <v>36638.14</v>
      </c>
    </row>
    <row r="390" spans="1:2">
      <c r="A390" s="119">
        <v>45636</v>
      </c>
      <c r="B390" s="120">
        <v>36590.980000000003</v>
      </c>
    </row>
    <row r="391" spans="1:2">
      <c r="A391" s="119">
        <v>45635</v>
      </c>
      <c r="B391" s="120">
        <v>36604.29</v>
      </c>
    </row>
    <row r="392" spans="1:2">
      <c r="A392" s="119">
        <v>45632</v>
      </c>
      <c r="B392" s="120">
        <v>36691.68</v>
      </c>
    </row>
    <row r="393" spans="1:2">
      <c r="A393" s="119">
        <v>45631</v>
      </c>
      <c r="B393" s="120">
        <v>36737.18</v>
      </c>
    </row>
    <row r="394" spans="1:2">
      <c r="A394" s="119">
        <v>45630</v>
      </c>
      <c r="B394" s="120">
        <v>36378.910000000003</v>
      </c>
    </row>
    <row r="395" spans="1:2">
      <c r="A395" s="119">
        <v>45629</v>
      </c>
      <c r="B395" s="120">
        <v>36363.629999999997</v>
      </c>
    </row>
    <row r="396" spans="1:2">
      <c r="A396" s="119">
        <v>45628</v>
      </c>
      <c r="B396" s="120">
        <v>36094.39</v>
      </c>
    </row>
    <row r="397" spans="1:2">
      <c r="A397" s="119">
        <v>45625</v>
      </c>
      <c r="B397" s="120">
        <v>35878.82</v>
      </c>
    </row>
    <row r="398" spans="1:2">
      <c r="A398" s="119">
        <v>45624</v>
      </c>
      <c r="B398" s="120">
        <v>35556.269999999997</v>
      </c>
    </row>
    <row r="399" spans="1:2">
      <c r="A399" s="119">
        <v>45623</v>
      </c>
      <c r="B399" s="120">
        <v>36092.65</v>
      </c>
    </row>
    <row r="400" spans="1:2">
      <c r="A400" s="119">
        <v>45622</v>
      </c>
      <c r="B400" s="120">
        <v>35973.11</v>
      </c>
    </row>
    <row r="401" spans="1:2">
      <c r="A401" s="119">
        <v>45621</v>
      </c>
      <c r="B401" s="120">
        <v>36013.85</v>
      </c>
    </row>
    <row r="402" spans="1:2">
      <c r="A402" s="119">
        <v>45618</v>
      </c>
      <c r="B402" s="120">
        <v>35546.01</v>
      </c>
    </row>
    <row r="403" spans="1:2">
      <c r="A403" s="119">
        <v>45617</v>
      </c>
      <c r="B403" s="120">
        <v>34717.32</v>
      </c>
    </row>
    <row r="404" spans="1:2">
      <c r="A404" s="119">
        <v>45615</v>
      </c>
      <c r="B404" s="120">
        <v>34968</v>
      </c>
    </row>
    <row r="405" spans="1:2">
      <c r="A405" s="119">
        <v>45614</v>
      </c>
      <c r="B405" s="120">
        <v>34871.21</v>
      </c>
    </row>
    <row r="406" spans="1:2">
      <c r="A406" s="119">
        <v>45610</v>
      </c>
      <c r="B406" s="120">
        <v>34988.480000000003</v>
      </c>
    </row>
    <row r="407" spans="1:2">
      <c r="A407" s="119">
        <v>45609</v>
      </c>
      <c r="B407" s="120">
        <v>35020.93</v>
      </c>
    </row>
    <row r="408" spans="1:2">
      <c r="A408" s="119">
        <v>45608</v>
      </c>
      <c r="B408" s="120">
        <v>35503.11</v>
      </c>
    </row>
    <row r="409" spans="1:2">
      <c r="A409" s="119">
        <v>45607</v>
      </c>
      <c r="B409" s="120">
        <v>35886.42</v>
      </c>
    </row>
    <row r="410" spans="1:2">
      <c r="A410" s="119">
        <v>45604</v>
      </c>
      <c r="B410" s="120">
        <v>35896.71</v>
      </c>
    </row>
    <row r="411" spans="1:2">
      <c r="A411" s="119">
        <v>45603</v>
      </c>
      <c r="B411" s="120">
        <v>35972.74</v>
      </c>
    </row>
    <row r="412" spans="1:2">
      <c r="A412" s="119">
        <v>45602</v>
      </c>
      <c r="B412" s="120">
        <v>36393.85</v>
      </c>
    </row>
    <row r="413" spans="1:2">
      <c r="A413" s="119">
        <v>45601</v>
      </c>
      <c r="B413" s="120">
        <v>35982.959999999999</v>
      </c>
    </row>
    <row r="414" spans="1:2">
      <c r="A414" s="119">
        <v>45600</v>
      </c>
      <c r="B414" s="120">
        <v>35659.07</v>
      </c>
    </row>
    <row r="415" spans="1:2">
      <c r="A415" s="119">
        <v>45597</v>
      </c>
      <c r="B415" s="120">
        <v>36118.25</v>
      </c>
    </row>
    <row r="416" spans="1:2">
      <c r="A416" s="119">
        <v>45596</v>
      </c>
      <c r="B416" s="120">
        <v>35971.14</v>
      </c>
    </row>
    <row r="417" spans="1:2">
      <c r="A417" s="119">
        <v>45595</v>
      </c>
      <c r="B417" s="120">
        <v>36165.43</v>
      </c>
    </row>
    <row r="418" spans="1:2">
      <c r="A418" s="119">
        <v>45594</v>
      </c>
      <c r="B418" s="120">
        <v>36352.629999999997</v>
      </c>
    </row>
    <row r="419" spans="1:2">
      <c r="A419" s="119">
        <v>45593</v>
      </c>
      <c r="B419" s="120">
        <v>36138.03</v>
      </c>
    </row>
    <row r="420" spans="1:2">
      <c r="A420" s="119">
        <v>45590</v>
      </c>
      <c r="B420" s="120">
        <v>35902.92</v>
      </c>
    </row>
    <row r="421" spans="1:2">
      <c r="A421" s="119">
        <v>45589</v>
      </c>
      <c r="B421" s="120">
        <v>36227.519999999997</v>
      </c>
    </row>
    <row r="422" spans="1:2">
      <c r="A422" s="119">
        <v>45588</v>
      </c>
      <c r="B422" s="120">
        <v>36281.1</v>
      </c>
    </row>
    <row r="423" spans="1:2">
      <c r="A423" s="119">
        <v>45587</v>
      </c>
      <c r="B423" s="120">
        <v>36335.46</v>
      </c>
    </row>
    <row r="424" spans="1:2">
      <c r="A424" s="119">
        <v>45586</v>
      </c>
      <c r="B424" s="120">
        <v>36789.949999999997</v>
      </c>
    </row>
    <row r="425" spans="1:2">
      <c r="A425" s="119">
        <v>45583</v>
      </c>
      <c r="B425" s="120">
        <v>36898.25</v>
      </c>
    </row>
    <row r="426" spans="1:2">
      <c r="A426" s="119">
        <v>45582</v>
      </c>
      <c r="B426" s="120">
        <v>36740.25</v>
      </c>
    </row>
    <row r="427" spans="1:2">
      <c r="A427" s="119">
        <v>45581</v>
      </c>
      <c r="B427" s="120">
        <v>37068.99</v>
      </c>
    </row>
    <row r="428" spans="1:2">
      <c r="A428" s="119">
        <v>45580</v>
      </c>
      <c r="B428" s="120">
        <v>37196.69</v>
      </c>
    </row>
    <row r="429" spans="1:2">
      <c r="A429" s="119">
        <v>45579</v>
      </c>
      <c r="B429" s="120">
        <v>37301.5</v>
      </c>
    </row>
    <row r="430" spans="1:2">
      <c r="A430" s="119">
        <v>45576</v>
      </c>
      <c r="B430" s="120">
        <v>37058.49</v>
      </c>
    </row>
    <row r="431" spans="1:2">
      <c r="A431" s="119">
        <v>45575</v>
      </c>
      <c r="B431" s="120">
        <v>37109.26</v>
      </c>
    </row>
    <row r="432" spans="1:2">
      <c r="A432" s="119">
        <v>45574</v>
      </c>
      <c r="B432" s="120">
        <v>37084.75</v>
      </c>
    </row>
    <row r="433" spans="1:2">
      <c r="A433" s="119">
        <v>45573</v>
      </c>
      <c r="B433" s="120">
        <v>37131.07</v>
      </c>
    </row>
    <row r="434" spans="1:2">
      <c r="A434" s="119">
        <v>45572</v>
      </c>
      <c r="B434" s="120">
        <v>36808.370000000003</v>
      </c>
    </row>
    <row r="435" spans="1:2">
      <c r="A435" s="119">
        <v>45569</v>
      </c>
      <c r="B435" s="120">
        <v>37133.25</v>
      </c>
    </row>
    <row r="436" spans="1:2">
      <c r="A436" s="119">
        <v>45568</v>
      </c>
      <c r="B436" s="120">
        <v>37482.839999999997</v>
      </c>
    </row>
    <row r="437" spans="1:2">
      <c r="A437" s="119">
        <v>45566</v>
      </c>
      <c r="B437" s="120">
        <v>38294.54</v>
      </c>
    </row>
    <row r="438" spans="1:2">
      <c r="A438" s="119">
        <v>45565</v>
      </c>
      <c r="B438" s="120">
        <v>38315.21</v>
      </c>
    </row>
    <row r="439" spans="1:2">
      <c r="A439" s="119">
        <v>45562</v>
      </c>
      <c r="B439" s="120">
        <v>38861.64</v>
      </c>
    </row>
    <row r="440" spans="1:2">
      <c r="A440" s="119">
        <v>45561</v>
      </c>
      <c r="B440" s="120">
        <v>38916.76</v>
      </c>
    </row>
    <row r="441" spans="1:2">
      <c r="A441" s="119">
        <v>45560</v>
      </c>
      <c r="B441" s="120">
        <v>38602.21</v>
      </c>
    </row>
    <row r="442" spans="1:2">
      <c r="A442" s="119">
        <v>45559</v>
      </c>
      <c r="B442" s="120">
        <v>38507.550000000003</v>
      </c>
    </row>
    <row r="443" spans="1:2">
      <c r="A443" s="119">
        <v>45558</v>
      </c>
      <c r="B443" s="120">
        <v>38505.51</v>
      </c>
    </row>
    <row r="444" spans="1:2">
      <c r="A444" s="119">
        <v>45555</v>
      </c>
      <c r="B444" s="120">
        <v>38285.67</v>
      </c>
    </row>
    <row r="445" spans="1:2">
      <c r="A445" s="119">
        <v>45554</v>
      </c>
      <c r="B445" s="120">
        <v>37728.83</v>
      </c>
    </row>
    <row r="446" spans="1:2">
      <c r="A446" s="119">
        <v>45553</v>
      </c>
      <c r="B446" s="120">
        <v>37672.03</v>
      </c>
    </row>
    <row r="447" spans="1:2">
      <c r="A447" s="119">
        <v>45552</v>
      </c>
      <c r="B447" s="120">
        <v>37732.870000000003</v>
      </c>
    </row>
    <row r="448" spans="1:2">
      <c r="A448" s="119">
        <v>45551</v>
      </c>
      <c r="B448" s="120">
        <v>37681.24</v>
      </c>
    </row>
    <row r="449" spans="1:2">
      <c r="A449" s="119">
        <v>45548</v>
      </c>
      <c r="B449" s="120">
        <v>37640.800000000003</v>
      </c>
    </row>
    <row r="450" spans="1:2">
      <c r="A450" s="119">
        <v>45547</v>
      </c>
      <c r="B450" s="120">
        <v>37688.9</v>
      </c>
    </row>
    <row r="451" spans="1:2">
      <c r="A451" s="119">
        <v>45546</v>
      </c>
      <c r="B451" s="120">
        <v>36990.519999999997</v>
      </c>
    </row>
    <row r="452" spans="1:2">
      <c r="A452" s="119">
        <v>45545</v>
      </c>
      <c r="B452" s="120">
        <v>37172.57</v>
      </c>
    </row>
    <row r="453" spans="1:2">
      <c r="A453" s="119">
        <v>45544</v>
      </c>
      <c r="B453" s="120">
        <v>37017.15</v>
      </c>
    </row>
    <row r="454" spans="1:2">
      <c r="A454" s="119">
        <v>45541</v>
      </c>
      <c r="B454" s="120">
        <v>36892.07</v>
      </c>
    </row>
    <row r="455" spans="1:2">
      <c r="A455" s="119">
        <v>45540</v>
      </c>
      <c r="B455" s="120">
        <v>37326.99</v>
      </c>
    </row>
    <row r="456" spans="1:2">
      <c r="A456" s="119">
        <v>45539</v>
      </c>
      <c r="B456" s="120">
        <v>37406.550000000003</v>
      </c>
    </row>
    <row r="457" spans="1:2">
      <c r="A457" s="119">
        <v>45538</v>
      </c>
      <c r="B457" s="120">
        <v>37526.97</v>
      </c>
    </row>
    <row r="458" spans="1:2">
      <c r="A458" s="119">
        <v>45537</v>
      </c>
      <c r="B458" s="120">
        <v>37525.279999999999</v>
      </c>
    </row>
    <row r="459" spans="1:2">
      <c r="A459" s="119">
        <v>45534</v>
      </c>
      <c r="B459" s="120">
        <v>37461.730000000003</v>
      </c>
    </row>
    <row r="460" spans="1:2">
      <c r="A460" s="119">
        <v>45533</v>
      </c>
      <c r="B460" s="120">
        <v>37337.089999999997</v>
      </c>
    </row>
    <row r="461" spans="1:2">
      <c r="A461" s="119">
        <v>45532</v>
      </c>
      <c r="B461" s="120">
        <v>37189.269999999997</v>
      </c>
    </row>
    <row r="462" spans="1:2">
      <c r="A462" s="119">
        <v>45531</v>
      </c>
      <c r="B462" s="120">
        <v>37137.910000000003</v>
      </c>
    </row>
    <row r="463" spans="1:2">
      <c r="A463" s="119">
        <v>45530</v>
      </c>
      <c r="B463" s="120">
        <v>37127.300000000003</v>
      </c>
    </row>
    <row r="464" spans="1:2">
      <c r="A464" s="119">
        <v>45527</v>
      </c>
      <c r="B464" s="120">
        <v>36849.019999999997</v>
      </c>
    </row>
    <row r="465" spans="1:2">
      <c r="A465" s="119">
        <v>45526</v>
      </c>
      <c r="B465" s="120">
        <v>36828.5</v>
      </c>
    </row>
    <row r="466" spans="1:2">
      <c r="A466" s="119">
        <v>45525</v>
      </c>
      <c r="B466" s="120">
        <v>36767.19</v>
      </c>
    </row>
    <row r="467" spans="1:2">
      <c r="A467" s="119">
        <v>45524</v>
      </c>
      <c r="B467" s="120">
        <v>36661.24</v>
      </c>
    </row>
    <row r="468" spans="1:2">
      <c r="A468" s="119">
        <v>45523</v>
      </c>
      <c r="B468" s="120">
        <v>36473.949999999997</v>
      </c>
    </row>
    <row r="469" spans="1:2">
      <c r="A469" s="119">
        <v>45520</v>
      </c>
      <c r="B469" s="120">
        <v>36415.85</v>
      </c>
    </row>
    <row r="470" spans="1:2">
      <c r="A470" s="119">
        <v>45518</v>
      </c>
      <c r="B470" s="120">
        <v>35817.89</v>
      </c>
    </row>
    <row r="471" spans="1:2">
      <c r="A471" s="119">
        <v>45517</v>
      </c>
      <c r="B471" s="120">
        <v>35810.83</v>
      </c>
    </row>
    <row r="472" spans="1:2">
      <c r="A472" s="119">
        <v>45516</v>
      </c>
      <c r="B472" s="120">
        <v>36119.449999999997</v>
      </c>
    </row>
    <row r="473" spans="1:2">
      <c r="A473" s="119">
        <v>45513</v>
      </c>
      <c r="B473" s="120">
        <v>36126.230000000003</v>
      </c>
    </row>
    <row r="474" spans="1:2">
      <c r="A474" s="119">
        <v>45512</v>
      </c>
      <c r="B474" s="120">
        <v>35753.120000000003</v>
      </c>
    </row>
    <row r="475" spans="1:2">
      <c r="A475" s="119">
        <v>45511</v>
      </c>
      <c r="B475" s="120">
        <v>36020.75</v>
      </c>
    </row>
    <row r="476" spans="1:2">
      <c r="A476" s="119">
        <v>45510</v>
      </c>
      <c r="B476" s="120">
        <v>35554.15</v>
      </c>
    </row>
    <row r="477" spans="1:2">
      <c r="A477" s="119">
        <v>45509</v>
      </c>
      <c r="B477" s="120">
        <v>35646.370000000003</v>
      </c>
    </row>
    <row r="478" spans="1:2">
      <c r="A478" s="119">
        <v>45506</v>
      </c>
      <c r="B478" s="120">
        <v>36624.49</v>
      </c>
    </row>
    <row r="479" spans="1:2">
      <c r="A479" s="119">
        <v>45505</v>
      </c>
      <c r="B479" s="120">
        <v>37049.699999999997</v>
      </c>
    </row>
    <row r="480" spans="1:2">
      <c r="A480" s="119">
        <v>45504</v>
      </c>
      <c r="B480" s="120">
        <v>36959.480000000003</v>
      </c>
    </row>
    <row r="481" spans="1:2">
      <c r="A481" s="119">
        <v>45503</v>
      </c>
      <c r="B481" s="120">
        <v>36820.47</v>
      </c>
    </row>
    <row r="482" spans="1:2">
      <c r="A482" s="119">
        <v>45502</v>
      </c>
      <c r="B482" s="120">
        <v>36786.300000000003</v>
      </c>
    </row>
    <row r="483" spans="1:2">
      <c r="A483" s="119">
        <v>45499</v>
      </c>
      <c r="B483" s="120">
        <v>36784.480000000003</v>
      </c>
    </row>
    <row r="484" spans="1:2">
      <c r="A484" s="119">
        <v>45498</v>
      </c>
      <c r="B484" s="120">
        <v>36149.4</v>
      </c>
    </row>
    <row r="485" spans="1:2">
      <c r="A485" s="119">
        <v>45497</v>
      </c>
      <c r="B485" s="120">
        <v>36160.36</v>
      </c>
    </row>
    <row r="486" spans="1:2">
      <c r="A486" s="119">
        <v>45496</v>
      </c>
      <c r="B486" s="120">
        <v>36257.51</v>
      </c>
    </row>
    <row r="487" spans="1:2">
      <c r="A487" s="119">
        <v>45495</v>
      </c>
      <c r="B487" s="120">
        <v>36296.550000000003</v>
      </c>
    </row>
    <row r="488" spans="1:2">
      <c r="A488" s="119">
        <v>45492</v>
      </c>
      <c r="B488" s="120">
        <v>36328.6</v>
      </c>
    </row>
    <row r="489" spans="1:2">
      <c r="A489" s="119">
        <v>45491</v>
      </c>
      <c r="B489" s="120">
        <v>36723.93</v>
      </c>
    </row>
    <row r="490" spans="1:2">
      <c r="A490" s="119">
        <v>45489</v>
      </c>
      <c r="B490" s="120">
        <v>36445.79</v>
      </c>
    </row>
    <row r="491" spans="1:2">
      <c r="A491" s="119">
        <v>45488</v>
      </c>
      <c r="B491" s="120">
        <v>36403.86</v>
      </c>
    </row>
    <row r="492" spans="1:2">
      <c r="A492" s="119">
        <v>45485</v>
      </c>
      <c r="B492" s="120">
        <v>36278.67</v>
      </c>
    </row>
    <row r="493" spans="1:2">
      <c r="A493" s="119">
        <v>45484</v>
      </c>
      <c r="B493" s="120">
        <v>36000.25</v>
      </c>
    </row>
    <row r="494" spans="1:2">
      <c r="A494" s="119">
        <v>45483</v>
      </c>
      <c r="B494" s="120">
        <v>36012.82</v>
      </c>
    </row>
    <row r="495" spans="1:2">
      <c r="A495" s="119">
        <v>45482</v>
      </c>
      <c r="B495" s="120">
        <v>36173.870000000003</v>
      </c>
    </row>
    <row r="496" spans="1:2">
      <c r="A496" s="119">
        <v>45481</v>
      </c>
      <c r="B496" s="120">
        <v>36004.74</v>
      </c>
    </row>
    <row r="497" spans="1:2">
      <c r="A497" s="119">
        <v>45478</v>
      </c>
      <c r="B497" s="120">
        <v>36009.61</v>
      </c>
    </row>
    <row r="498" spans="1:2">
      <c r="A498" s="119">
        <v>45477</v>
      </c>
      <c r="B498" s="120">
        <v>35970.639999999999</v>
      </c>
    </row>
    <row r="499" spans="1:2">
      <c r="A499" s="119">
        <v>45476</v>
      </c>
      <c r="B499" s="120">
        <v>35947.53</v>
      </c>
    </row>
    <row r="500" spans="1:2">
      <c r="A500" s="119">
        <v>45475</v>
      </c>
      <c r="B500" s="120">
        <v>35706.769999999997</v>
      </c>
    </row>
    <row r="501" spans="1:2">
      <c r="A501" s="119">
        <v>45474</v>
      </c>
      <c r="B501" s="120">
        <v>35733.58</v>
      </c>
    </row>
    <row r="502" spans="1:2">
      <c r="A502" s="119">
        <v>45474</v>
      </c>
      <c r="B502" s="120">
        <v>35733.58</v>
      </c>
    </row>
    <row r="503" spans="1:2">
      <c r="A503" s="119">
        <v>45471</v>
      </c>
      <c r="B503" s="120">
        <v>35539.160000000003</v>
      </c>
    </row>
    <row r="504" spans="1:2">
      <c r="A504" s="119">
        <v>45470</v>
      </c>
      <c r="B504" s="120">
        <v>35585.620000000003</v>
      </c>
    </row>
    <row r="505" spans="1:2">
      <c r="A505" s="119">
        <v>45469</v>
      </c>
      <c r="B505" s="120">
        <v>35324.11</v>
      </c>
    </row>
    <row r="506" spans="1:2">
      <c r="A506" s="119">
        <v>45468</v>
      </c>
      <c r="B506" s="120">
        <v>35105.79</v>
      </c>
    </row>
    <row r="507" spans="1:2">
      <c r="A507" s="119">
        <v>45467</v>
      </c>
      <c r="B507" s="120">
        <v>34834.33</v>
      </c>
    </row>
    <row r="508" spans="1:2">
      <c r="A508" s="119">
        <v>45464</v>
      </c>
      <c r="B508" s="120">
        <v>34779.9</v>
      </c>
    </row>
    <row r="509" spans="1:2">
      <c r="A509" s="119">
        <v>45463</v>
      </c>
      <c r="B509" s="120">
        <v>34873.15</v>
      </c>
    </row>
    <row r="510" spans="1:2">
      <c r="A510" s="119">
        <v>45462</v>
      </c>
      <c r="B510" s="120">
        <v>34786.58</v>
      </c>
    </row>
    <row r="511" spans="1:2">
      <c r="A511" s="119">
        <v>45461</v>
      </c>
      <c r="B511" s="120">
        <v>34847.24</v>
      </c>
    </row>
    <row r="512" spans="1:2">
      <c r="A512" s="119">
        <v>45457</v>
      </c>
      <c r="B512" s="120">
        <v>34710.67</v>
      </c>
    </row>
    <row r="513" spans="1:2">
      <c r="A513" s="119">
        <v>45456</v>
      </c>
      <c r="B513" s="120">
        <v>34600.19</v>
      </c>
    </row>
    <row r="514" spans="1:2">
      <c r="A514" s="119">
        <v>45455</v>
      </c>
      <c r="B514" s="120">
        <v>34487.879999999997</v>
      </c>
    </row>
    <row r="515" spans="1:2">
      <c r="A515" s="119">
        <v>45454</v>
      </c>
      <c r="B515" s="120">
        <v>34402</v>
      </c>
    </row>
    <row r="516" spans="1:2">
      <c r="A516" s="119">
        <v>45453</v>
      </c>
      <c r="B516" s="120">
        <v>34385.839999999997</v>
      </c>
    </row>
    <row r="517" spans="1:2">
      <c r="A517" s="119">
        <v>45450</v>
      </c>
      <c r="B517" s="120">
        <v>34431.61</v>
      </c>
    </row>
    <row r="518" spans="1:2">
      <c r="A518" s="119">
        <v>45449</v>
      </c>
      <c r="B518" s="120">
        <v>33738.58</v>
      </c>
    </row>
    <row r="519" spans="1:2">
      <c r="A519" s="119">
        <v>45448</v>
      </c>
      <c r="B519" s="120">
        <v>33441.4</v>
      </c>
    </row>
    <row r="520" spans="1:2">
      <c r="A520" s="119">
        <v>45447</v>
      </c>
      <c r="B520" s="120">
        <v>32353.5</v>
      </c>
    </row>
    <row r="521" spans="1:2">
      <c r="A521" s="119">
        <v>45446</v>
      </c>
      <c r="B521" s="120">
        <v>34369.129999999997</v>
      </c>
    </row>
    <row r="522" spans="1:2">
      <c r="A522" s="119">
        <v>45443</v>
      </c>
      <c r="B522" s="120">
        <v>33285.9</v>
      </c>
    </row>
    <row r="523" spans="1:2">
      <c r="A523" s="119">
        <v>45442</v>
      </c>
      <c r="B523" s="120">
        <v>33190.35</v>
      </c>
    </row>
    <row r="524" spans="1:2">
      <c r="A524" s="119">
        <v>45441</v>
      </c>
      <c r="B524" s="120">
        <v>33509.230000000003</v>
      </c>
    </row>
    <row r="525" spans="1:2">
      <c r="A525" s="119">
        <v>45440</v>
      </c>
      <c r="B525" s="120">
        <v>33780.01</v>
      </c>
    </row>
    <row r="526" spans="1:2">
      <c r="A526" s="119">
        <v>45439</v>
      </c>
      <c r="B526" s="120">
        <v>33845.39</v>
      </c>
    </row>
    <row r="527" spans="1:2">
      <c r="A527" s="119">
        <v>45436</v>
      </c>
      <c r="B527" s="120">
        <v>33881.75</v>
      </c>
    </row>
    <row r="528" spans="1:2">
      <c r="A528" s="119">
        <v>45435</v>
      </c>
      <c r="B528" s="120">
        <v>33895.660000000003</v>
      </c>
    </row>
    <row r="529" spans="1:2">
      <c r="A529" s="119">
        <v>45434</v>
      </c>
      <c r="B529" s="120">
        <v>33349.839999999997</v>
      </c>
    </row>
    <row r="530" spans="1:2">
      <c r="A530" s="119">
        <v>45433</v>
      </c>
      <c r="B530" s="120">
        <v>33230.839999999997</v>
      </c>
    </row>
    <row r="531" spans="1:2">
      <c r="A531" s="119">
        <v>45430</v>
      </c>
      <c r="B531" s="120">
        <v>33190.97</v>
      </c>
    </row>
    <row r="532" spans="1:2">
      <c r="A532" s="119">
        <v>45429</v>
      </c>
      <c r="B532" s="120">
        <v>33138.019999999997</v>
      </c>
    </row>
    <row r="533" spans="1:2">
      <c r="A533" s="119">
        <v>45428</v>
      </c>
      <c r="B533" s="120">
        <v>33046.160000000003</v>
      </c>
    </row>
    <row r="534" spans="1:2">
      <c r="A534" s="119">
        <v>45427</v>
      </c>
      <c r="B534" s="120">
        <v>32736.91</v>
      </c>
    </row>
    <row r="535" spans="1:2">
      <c r="A535" s="119">
        <v>45426</v>
      </c>
      <c r="B535" s="120">
        <v>32762.37</v>
      </c>
    </row>
    <row r="536" spans="1:2">
      <c r="A536" s="119">
        <v>45425</v>
      </c>
      <c r="B536" s="120">
        <v>32594.61</v>
      </c>
    </row>
    <row r="537" spans="1:2">
      <c r="A537" s="119">
        <v>45422</v>
      </c>
      <c r="B537" s="120">
        <v>32522.55</v>
      </c>
    </row>
    <row r="538" spans="1:2">
      <c r="A538" s="119">
        <v>45421</v>
      </c>
      <c r="B538" s="120">
        <v>32329.72</v>
      </c>
    </row>
    <row r="539" spans="1:2">
      <c r="A539" s="119">
        <v>45420</v>
      </c>
      <c r="B539" s="120">
        <v>32837.65</v>
      </c>
    </row>
    <row r="540" spans="1:2">
      <c r="A540" s="119">
        <v>45419</v>
      </c>
      <c r="B540" s="120">
        <v>32837.71</v>
      </c>
    </row>
    <row r="541" spans="1:2">
      <c r="A541" s="119">
        <v>45418</v>
      </c>
      <c r="B541" s="120">
        <v>33037.730000000003</v>
      </c>
    </row>
    <row r="542" spans="1:2">
      <c r="A542" s="119">
        <v>45415</v>
      </c>
      <c r="B542" s="120">
        <v>33086.51</v>
      </c>
    </row>
    <row r="543" spans="1:2">
      <c r="A543" s="119">
        <v>45414</v>
      </c>
      <c r="B543" s="120">
        <v>33340.199999999997</v>
      </c>
    </row>
    <row r="544" spans="1:2">
      <c r="A544" s="119">
        <v>45412</v>
      </c>
      <c r="B544" s="120">
        <v>33276.410000000003</v>
      </c>
    </row>
    <row r="545" spans="1:2">
      <c r="A545" s="119">
        <v>45411</v>
      </c>
      <c r="B545" s="120">
        <v>33333.120000000003</v>
      </c>
    </row>
    <row r="546" spans="1:2">
      <c r="A546" s="119">
        <v>45408</v>
      </c>
      <c r="B546" s="120">
        <v>33004.19</v>
      </c>
    </row>
    <row r="547" spans="1:2">
      <c r="A547" s="119">
        <v>45407</v>
      </c>
      <c r="B547" s="120">
        <v>33225.64</v>
      </c>
    </row>
    <row r="548" spans="1:2">
      <c r="A548" s="119">
        <v>45406</v>
      </c>
      <c r="B548" s="120">
        <v>32978.370000000003</v>
      </c>
    </row>
    <row r="549" spans="1:2">
      <c r="A549" s="119">
        <v>45405</v>
      </c>
      <c r="B549" s="120">
        <v>32927.730000000003</v>
      </c>
    </row>
    <row r="550" spans="1:2">
      <c r="A550" s="119">
        <v>45404</v>
      </c>
      <c r="B550" s="120">
        <v>32881.22</v>
      </c>
    </row>
    <row r="551" spans="1:2">
      <c r="A551" s="119">
        <v>45401</v>
      </c>
      <c r="B551" s="120">
        <v>32602.42</v>
      </c>
    </row>
    <row r="552" spans="1:2">
      <c r="A552" s="119">
        <v>45400</v>
      </c>
      <c r="B552" s="120">
        <v>32379.9</v>
      </c>
    </row>
    <row r="553" spans="1:2">
      <c r="A553" s="119">
        <v>45398</v>
      </c>
      <c r="B553" s="120">
        <v>32603.74</v>
      </c>
    </row>
    <row r="554" spans="1:2">
      <c r="A554" s="119">
        <v>45397</v>
      </c>
      <c r="B554" s="120">
        <v>32787.15</v>
      </c>
    </row>
    <row r="555" spans="1:2">
      <c r="A555" s="119">
        <v>45394</v>
      </c>
      <c r="B555" s="120">
        <v>33150.589999999997</v>
      </c>
    </row>
    <row r="556" spans="1:2">
      <c r="A556" s="119">
        <v>45392</v>
      </c>
      <c r="B556" s="120">
        <v>33495.65</v>
      </c>
    </row>
    <row r="557" spans="1:2">
      <c r="A557" s="119">
        <v>45391</v>
      </c>
      <c r="B557" s="120">
        <v>33332.19</v>
      </c>
    </row>
    <row r="558" spans="1:2">
      <c r="A558" s="119">
        <v>45390</v>
      </c>
      <c r="B558" s="120">
        <v>33366.870000000003</v>
      </c>
    </row>
    <row r="559" spans="1:2">
      <c r="A559" s="119">
        <v>45387</v>
      </c>
      <c r="B559" s="120">
        <v>33142.19</v>
      </c>
    </row>
    <row r="560" spans="1:2">
      <c r="A560" s="119">
        <v>45386</v>
      </c>
      <c r="B560" s="120">
        <v>33143.589999999997</v>
      </c>
    </row>
    <row r="561" spans="1:2">
      <c r="A561" s="119">
        <v>45385</v>
      </c>
      <c r="B561" s="120">
        <v>33025.82</v>
      </c>
    </row>
    <row r="562" spans="1:2">
      <c r="A562" s="119">
        <v>45384</v>
      </c>
      <c r="B562" s="120">
        <v>33053.33</v>
      </c>
    </row>
    <row r="563" spans="1:2">
      <c r="A563" s="119">
        <v>45383</v>
      </c>
      <c r="B563" s="120">
        <v>33066.129999999997</v>
      </c>
    </row>
    <row r="564" spans="1:2">
      <c r="A564" s="119">
        <v>45379</v>
      </c>
      <c r="B564" s="120">
        <v>32867.230000000003</v>
      </c>
    </row>
    <row r="565" spans="1:2">
      <c r="A565" s="119">
        <v>45378</v>
      </c>
      <c r="B565" s="120">
        <v>32568.01</v>
      </c>
    </row>
    <row r="566" spans="1:2">
      <c r="A566" s="119">
        <v>45377</v>
      </c>
      <c r="B566" s="120">
        <v>32392.94</v>
      </c>
    </row>
    <row r="567" spans="1:2">
      <c r="A567" s="119">
        <v>45373</v>
      </c>
      <c r="B567" s="120">
        <v>32528.43</v>
      </c>
    </row>
    <row r="568" spans="1:2">
      <c r="A568" s="119">
        <v>45372</v>
      </c>
      <c r="B568" s="120">
        <v>32403.599999999999</v>
      </c>
    </row>
    <row r="569" spans="1:2">
      <c r="A569" s="119">
        <v>45371</v>
      </c>
      <c r="B569" s="120">
        <v>32149.17</v>
      </c>
    </row>
    <row r="570" spans="1:2">
      <c r="A570" s="119">
        <v>45370</v>
      </c>
      <c r="B570" s="120">
        <v>32117.3</v>
      </c>
    </row>
    <row r="571" spans="1:2">
      <c r="A571" s="119">
        <v>45369</v>
      </c>
      <c r="B571" s="120">
        <v>32468</v>
      </c>
    </row>
    <row r="572" spans="1:2">
      <c r="A572" s="119">
        <v>45366</v>
      </c>
      <c r="B572" s="120">
        <v>32420.41</v>
      </c>
    </row>
    <row r="573" spans="1:2">
      <c r="A573" s="119">
        <v>45365</v>
      </c>
      <c r="B573" s="120">
        <v>32601.49</v>
      </c>
    </row>
    <row r="574" spans="1:2">
      <c r="A574" s="119">
        <v>45364</v>
      </c>
      <c r="B574" s="120">
        <v>32382.22</v>
      </c>
    </row>
    <row r="575" spans="1:2">
      <c r="A575" s="119">
        <v>45363</v>
      </c>
      <c r="B575" s="120">
        <v>32879.74</v>
      </c>
    </row>
    <row r="576" spans="1:2">
      <c r="A576" s="119">
        <v>45362</v>
      </c>
      <c r="B576" s="120">
        <v>32875.25</v>
      </c>
    </row>
    <row r="577" spans="1:2">
      <c r="A577" s="119">
        <v>45358</v>
      </c>
      <c r="B577" s="120">
        <v>33112.15</v>
      </c>
    </row>
    <row r="578" spans="1:2">
      <c r="A578" s="119">
        <v>45357</v>
      </c>
      <c r="B578" s="120">
        <v>33083.42</v>
      </c>
    </row>
    <row r="579" spans="1:2">
      <c r="A579" s="119">
        <v>45356</v>
      </c>
      <c r="B579" s="120">
        <v>32910.07</v>
      </c>
    </row>
    <row r="580" spans="1:2">
      <c r="A580" s="119">
        <v>45355</v>
      </c>
      <c r="B580" s="120">
        <v>32982.68</v>
      </c>
    </row>
    <row r="581" spans="1:2">
      <c r="A581" s="119">
        <v>45353</v>
      </c>
      <c r="B581" s="120">
        <v>32942.629999999997</v>
      </c>
    </row>
    <row r="582" spans="1:2">
      <c r="A582" s="119">
        <v>45352</v>
      </c>
      <c r="B582" s="120">
        <v>32884.29</v>
      </c>
    </row>
    <row r="583" spans="1:2">
      <c r="A583" s="119">
        <v>45351</v>
      </c>
      <c r="B583" s="120">
        <v>32360.25</v>
      </c>
    </row>
    <row r="584" spans="1:2">
      <c r="A584" s="119">
        <v>45350</v>
      </c>
      <c r="B584" s="120">
        <v>32313.7</v>
      </c>
    </row>
    <row r="585" spans="1:2">
      <c r="A585" s="119">
        <v>45349</v>
      </c>
      <c r="B585" s="120">
        <v>32677.61</v>
      </c>
    </row>
    <row r="586" spans="1:2">
      <c r="A586" s="119">
        <v>45348</v>
      </c>
      <c r="B586" s="120">
        <v>32565.29</v>
      </c>
    </row>
    <row r="587" spans="1:2">
      <c r="A587" s="119">
        <v>45345</v>
      </c>
      <c r="B587" s="120">
        <v>32698.69</v>
      </c>
    </row>
    <row r="588" spans="1:2">
      <c r="A588" s="119">
        <v>45344</v>
      </c>
      <c r="B588" s="120">
        <v>32705.7</v>
      </c>
    </row>
    <row r="589" spans="1:2">
      <c r="A589" s="119">
        <v>45343</v>
      </c>
      <c r="B589" s="120">
        <v>32466.65</v>
      </c>
    </row>
    <row r="590" spans="1:2">
      <c r="A590" s="119">
        <v>45342</v>
      </c>
      <c r="B590" s="120">
        <v>32675.53</v>
      </c>
    </row>
    <row r="591" spans="1:2">
      <c r="A591" s="119">
        <v>45341</v>
      </c>
      <c r="B591" s="120">
        <v>32561.34</v>
      </c>
    </row>
    <row r="592" spans="1:2">
      <c r="A592" s="119">
        <v>45338</v>
      </c>
      <c r="B592" s="120">
        <v>32441.32</v>
      </c>
    </row>
    <row r="593" spans="1:2">
      <c r="A593" s="119">
        <v>45337</v>
      </c>
      <c r="B593" s="120">
        <v>32244.79</v>
      </c>
    </row>
    <row r="594" spans="1:2">
      <c r="A594" s="119">
        <v>45336</v>
      </c>
      <c r="B594" s="120">
        <v>32133.040000000001</v>
      </c>
    </row>
    <row r="595" spans="1:2">
      <c r="A595" s="119">
        <v>45335</v>
      </c>
      <c r="B595" s="120">
        <v>31990.61</v>
      </c>
    </row>
    <row r="596" spans="1:2">
      <c r="A596" s="119">
        <v>45334</v>
      </c>
      <c r="B596" s="120">
        <v>31803.52</v>
      </c>
    </row>
    <row r="597" spans="1:2">
      <c r="A597" s="119">
        <v>45331</v>
      </c>
      <c r="B597" s="120">
        <v>32048.38</v>
      </c>
    </row>
    <row r="598" spans="1:2">
      <c r="A598" s="119">
        <v>45330</v>
      </c>
      <c r="B598" s="120">
        <v>31950.32</v>
      </c>
    </row>
    <row r="599" spans="1:2">
      <c r="A599" s="119">
        <v>45329</v>
      </c>
      <c r="B599" s="120">
        <v>32244.22</v>
      </c>
    </row>
    <row r="600" spans="1:2">
      <c r="A600" s="119">
        <v>45328</v>
      </c>
      <c r="B600" s="120">
        <v>32242.59</v>
      </c>
    </row>
    <row r="601" spans="1:2">
      <c r="A601" s="119">
        <v>45327</v>
      </c>
      <c r="B601" s="120">
        <v>32007.18</v>
      </c>
    </row>
    <row r="602" spans="1:2">
      <c r="A602" s="119">
        <v>45324</v>
      </c>
      <c r="B602" s="120">
        <v>32127.9</v>
      </c>
    </row>
    <row r="603" spans="1:2">
      <c r="A603" s="121">
        <v>45323</v>
      </c>
      <c r="B603" s="122">
        <v>31898.06</v>
      </c>
    </row>
    <row r="604" spans="1:2">
      <c r="A604" s="121">
        <v>45322</v>
      </c>
      <c r="B604" s="122">
        <v>31939.59</v>
      </c>
    </row>
    <row r="605" spans="1:2">
      <c r="A605" s="121">
        <v>45321</v>
      </c>
      <c r="B605" s="122">
        <v>31640.240000000002</v>
      </c>
    </row>
    <row r="606" spans="1:2">
      <c r="A606" s="121">
        <v>45320</v>
      </c>
      <c r="B606" s="122">
        <v>31957.05</v>
      </c>
    </row>
    <row r="607" spans="1:2">
      <c r="A607" s="121">
        <v>45316</v>
      </c>
      <c r="B607" s="122">
        <v>31391.07</v>
      </c>
    </row>
    <row r="608" spans="1:2">
      <c r="A608" s="121">
        <v>45315</v>
      </c>
      <c r="B608" s="122">
        <v>31540.07</v>
      </c>
    </row>
    <row r="609" spans="1:2">
      <c r="A609" s="121">
        <v>45314</v>
      </c>
      <c r="B609" s="122">
        <v>31223.3</v>
      </c>
    </row>
    <row r="610" spans="1:2">
      <c r="A610" s="121">
        <v>45311</v>
      </c>
      <c r="B610" s="122">
        <v>31712.86</v>
      </c>
    </row>
    <row r="611" spans="1:2">
      <c r="A611" s="121">
        <v>45310</v>
      </c>
      <c r="B611" s="122">
        <v>31787.24</v>
      </c>
    </row>
    <row r="612" spans="1:2">
      <c r="A612" s="121">
        <v>45309</v>
      </c>
      <c r="B612" s="122">
        <v>31538.400000000001</v>
      </c>
    </row>
    <row r="613" spans="1:2">
      <c r="A613" s="121">
        <v>45308</v>
      </c>
      <c r="B613" s="122">
        <v>31699.64</v>
      </c>
    </row>
    <row r="614" spans="1:2">
      <c r="A614" s="121">
        <v>45307</v>
      </c>
      <c r="B614" s="122">
        <v>32376.1</v>
      </c>
    </row>
    <row r="615" spans="1:2">
      <c r="A615" s="121">
        <v>45306</v>
      </c>
      <c r="B615" s="122">
        <v>32471.8</v>
      </c>
    </row>
    <row r="616" spans="1:2">
      <c r="A616" s="121">
        <v>45303</v>
      </c>
      <c r="B616" s="122">
        <v>32173.66</v>
      </c>
    </row>
    <row r="617" spans="1:2">
      <c r="A617" s="121">
        <v>45302</v>
      </c>
      <c r="B617" s="122">
        <v>31810.18</v>
      </c>
    </row>
    <row r="618" spans="1:2">
      <c r="A618" s="121">
        <v>45301</v>
      </c>
      <c r="B618" s="122">
        <v>31768.3</v>
      </c>
    </row>
    <row r="619" spans="1:2">
      <c r="A619" s="121">
        <v>45300</v>
      </c>
      <c r="B619" s="122">
        <v>31659.81</v>
      </c>
    </row>
    <row r="620" spans="1:2">
      <c r="A620" s="121">
        <v>45299</v>
      </c>
      <c r="B620" s="122">
        <v>31613.01</v>
      </c>
    </row>
    <row r="621" spans="1:2">
      <c r="A621" s="121">
        <v>45296</v>
      </c>
      <c r="B621" s="122">
        <v>31903.69</v>
      </c>
    </row>
    <row r="622" spans="1:2">
      <c r="A622" s="121">
        <v>45295</v>
      </c>
      <c r="B622" s="122">
        <v>31826.97</v>
      </c>
    </row>
    <row r="623" spans="1:2">
      <c r="A623" s="121">
        <v>45294</v>
      </c>
      <c r="B623" s="122">
        <v>31619.360000000001</v>
      </c>
    </row>
    <row r="624" spans="1:2">
      <c r="A624" s="121">
        <v>45293</v>
      </c>
      <c r="B624" s="122">
        <v>31837.56</v>
      </c>
    </row>
    <row r="625" spans="1:2">
      <c r="A625" s="121">
        <v>45292</v>
      </c>
      <c r="B625" s="122">
        <v>31949.360000000001</v>
      </c>
    </row>
    <row r="626" spans="1:2">
      <c r="A626" s="121">
        <v>45289</v>
      </c>
      <c r="B626" s="122">
        <v>31933.93</v>
      </c>
    </row>
    <row r="627" spans="1:2">
      <c r="A627" s="121">
        <v>45288</v>
      </c>
      <c r="B627" s="122">
        <v>32003.47</v>
      </c>
    </row>
    <row r="628" spans="1:2">
      <c r="A628" s="121">
        <v>45287</v>
      </c>
      <c r="B628" s="122">
        <v>31821.31</v>
      </c>
    </row>
    <row r="629" spans="1:2">
      <c r="A629" s="121">
        <v>45286</v>
      </c>
      <c r="B629" s="122">
        <v>31507.69</v>
      </c>
    </row>
    <row r="630" spans="1:2">
      <c r="A630" s="121">
        <v>45282</v>
      </c>
      <c r="B630" s="122">
        <v>31372.6</v>
      </c>
    </row>
    <row r="631" spans="1:2">
      <c r="A631" s="121">
        <v>45281</v>
      </c>
      <c r="B631" s="122">
        <v>31233.93</v>
      </c>
    </row>
    <row r="632" spans="1:2">
      <c r="A632" s="121">
        <v>45280</v>
      </c>
      <c r="B632" s="122">
        <v>31079.759999999998</v>
      </c>
    </row>
    <row r="633" spans="1:2">
      <c r="A633" s="121">
        <v>45279</v>
      </c>
      <c r="B633" s="122">
        <v>31525</v>
      </c>
    </row>
    <row r="634" spans="1:2">
      <c r="A634" s="121">
        <v>45278</v>
      </c>
      <c r="B634" s="122">
        <v>31474.35</v>
      </c>
    </row>
    <row r="635" spans="1:2">
      <c r="A635" s="121">
        <v>45275</v>
      </c>
      <c r="B635" s="122">
        <v>31530.19</v>
      </c>
    </row>
    <row r="636" spans="1:2">
      <c r="A636" s="121">
        <v>45274</v>
      </c>
      <c r="B636" s="122">
        <v>31127.599999999999</v>
      </c>
    </row>
    <row r="637" spans="1:2">
      <c r="A637" s="121">
        <v>45273</v>
      </c>
      <c r="B637" s="122">
        <v>30750.95</v>
      </c>
    </row>
    <row r="638" spans="1:2">
      <c r="A638" s="121">
        <v>45272</v>
      </c>
      <c r="B638" s="122">
        <v>30721.59</v>
      </c>
    </row>
    <row r="639" spans="1:2">
      <c r="A639" s="121">
        <v>45271</v>
      </c>
      <c r="B639" s="122">
        <v>30854.9</v>
      </c>
    </row>
    <row r="640" spans="1:2">
      <c r="A640" s="121">
        <v>45268</v>
      </c>
      <c r="B640" s="122">
        <v>30814.15</v>
      </c>
    </row>
    <row r="641" spans="1:2">
      <c r="A641" s="121">
        <v>45267</v>
      </c>
      <c r="B641" s="122">
        <v>30713.86</v>
      </c>
    </row>
    <row r="642" spans="1:2">
      <c r="A642" s="121">
        <v>45266</v>
      </c>
      <c r="B642" s="122">
        <v>30767.599999999999</v>
      </c>
    </row>
    <row r="643" spans="1:2">
      <c r="A643" s="121">
        <v>45265</v>
      </c>
      <c r="B643" s="122">
        <v>30646.19</v>
      </c>
    </row>
    <row r="644" spans="1:2">
      <c r="A644" s="121">
        <v>45264</v>
      </c>
      <c r="B644" s="122">
        <v>30398.91</v>
      </c>
    </row>
    <row r="645" spans="1:2">
      <c r="A645" s="121">
        <v>45261</v>
      </c>
      <c r="B645" s="122">
        <v>29783.34</v>
      </c>
    </row>
    <row r="646" spans="1:2">
      <c r="A646" s="121">
        <v>45260</v>
      </c>
      <c r="B646" s="122">
        <v>29585.360000000001</v>
      </c>
    </row>
    <row r="647" spans="1:2">
      <c r="A647" s="121">
        <v>45259</v>
      </c>
      <c r="B647" s="122">
        <v>29531.63</v>
      </c>
    </row>
    <row r="648" spans="1:2">
      <c r="A648" s="121">
        <v>45258</v>
      </c>
      <c r="B648" s="122">
        <v>29227.61</v>
      </c>
    </row>
    <row r="649" spans="1:2">
      <c r="A649" s="121">
        <v>45254</v>
      </c>
      <c r="B649" s="122">
        <v>29087.95</v>
      </c>
    </row>
    <row r="650" spans="1:2">
      <c r="A650" s="121">
        <v>45253</v>
      </c>
      <c r="B650" s="122">
        <v>29098.74</v>
      </c>
    </row>
    <row r="651" spans="1:2">
      <c r="A651" s="121">
        <v>45252</v>
      </c>
      <c r="B651" s="122">
        <v>29113.18</v>
      </c>
    </row>
    <row r="652" spans="1:2">
      <c r="A652" s="121">
        <v>45251</v>
      </c>
      <c r="B652" s="122">
        <v>29071.360000000001</v>
      </c>
    </row>
    <row r="653" spans="1:2">
      <c r="A653" s="121">
        <v>45250</v>
      </c>
      <c r="B653" s="122">
        <v>28939.98</v>
      </c>
    </row>
    <row r="654" spans="1:2">
      <c r="A654" s="121">
        <v>45247</v>
      </c>
      <c r="B654" s="122">
        <v>28995.52</v>
      </c>
    </row>
    <row r="655" spans="1:2">
      <c r="A655" s="121">
        <v>45246</v>
      </c>
      <c r="B655" s="122">
        <v>29044.66</v>
      </c>
    </row>
    <row r="656" spans="1:2">
      <c r="A656" s="121">
        <v>45245</v>
      </c>
      <c r="B656" s="122">
        <v>28906.7</v>
      </c>
    </row>
    <row r="657" spans="1:2">
      <c r="A657" s="121">
        <v>45243</v>
      </c>
      <c r="B657" s="122">
        <v>28565.95</v>
      </c>
    </row>
    <row r="658" spans="1:2">
      <c r="A658" s="121">
        <v>45242</v>
      </c>
      <c r="B658" s="122">
        <v>28686.47</v>
      </c>
    </row>
    <row r="659" spans="1:2">
      <c r="A659" s="121">
        <v>45240</v>
      </c>
      <c r="B659" s="122">
        <v>28539.24</v>
      </c>
    </row>
    <row r="660" spans="1:2">
      <c r="A660" s="121">
        <v>45239</v>
      </c>
      <c r="B660" s="122">
        <v>28495.08</v>
      </c>
    </row>
    <row r="661" spans="1:2">
      <c r="A661" s="121">
        <v>45238</v>
      </c>
      <c r="B661" s="122">
        <v>28565.86</v>
      </c>
    </row>
    <row r="662" spans="1:2">
      <c r="A662" s="121">
        <v>45237</v>
      </c>
      <c r="B662" s="122">
        <v>28511.81</v>
      </c>
    </row>
    <row r="663" spans="1:2">
      <c r="A663" s="121">
        <v>45236</v>
      </c>
      <c r="B663" s="122">
        <v>28519.25</v>
      </c>
    </row>
    <row r="664" spans="1:2">
      <c r="A664" s="121">
        <v>45233</v>
      </c>
      <c r="B664" s="122">
        <v>28253.09</v>
      </c>
    </row>
    <row r="665" spans="1:2">
      <c r="A665" s="121">
        <v>45232</v>
      </c>
      <c r="B665" s="122">
        <v>28105.75</v>
      </c>
    </row>
    <row r="666" spans="1:2">
      <c r="A666" s="121">
        <v>45231</v>
      </c>
      <c r="B666" s="122">
        <v>27886.240000000002</v>
      </c>
    </row>
    <row r="667" spans="1:2">
      <c r="A667" s="121">
        <v>45230</v>
      </c>
      <c r="B667" s="122">
        <v>28017.360000000001</v>
      </c>
    </row>
    <row r="668" spans="1:2">
      <c r="A668" s="121">
        <v>45229</v>
      </c>
      <c r="B668" s="122">
        <v>28107.42</v>
      </c>
    </row>
    <row r="669" spans="1:2">
      <c r="A669" s="121">
        <v>45226</v>
      </c>
      <c r="B669" s="122">
        <v>27969.919999999998</v>
      </c>
    </row>
    <row r="670" spans="1:2">
      <c r="A670" s="121">
        <v>45225</v>
      </c>
      <c r="B670" s="122">
        <v>27690.29</v>
      </c>
    </row>
    <row r="671" spans="1:2">
      <c r="A671" s="121">
        <v>45224</v>
      </c>
      <c r="B671" s="122">
        <v>28079.26</v>
      </c>
    </row>
    <row r="672" spans="1:2">
      <c r="A672" s="121">
        <v>45222</v>
      </c>
      <c r="B672" s="122">
        <v>28291.96</v>
      </c>
    </row>
    <row r="673" spans="1:2">
      <c r="A673" s="121">
        <v>45219</v>
      </c>
      <c r="B673" s="122">
        <v>28674.78</v>
      </c>
    </row>
    <row r="674" spans="1:2">
      <c r="A674" s="121">
        <v>45218</v>
      </c>
      <c r="B674" s="122">
        <v>28790.880000000001</v>
      </c>
    </row>
    <row r="675" spans="1:2">
      <c r="A675" s="121">
        <v>45217</v>
      </c>
      <c r="B675" s="122">
        <v>28855.87</v>
      </c>
    </row>
    <row r="676" spans="1:2">
      <c r="A676" s="121">
        <v>45216</v>
      </c>
      <c r="B676" s="122">
        <v>29061.8</v>
      </c>
    </row>
    <row r="677" spans="1:2">
      <c r="A677" s="121">
        <v>45215</v>
      </c>
      <c r="B677" s="122">
        <v>28944.87</v>
      </c>
    </row>
    <row r="678" spans="1:2">
      <c r="A678" s="121">
        <v>45212</v>
      </c>
      <c r="B678" s="122">
        <v>28973.14</v>
      </c>
    </row>
    <row r="679" spans="1:2">
      <c r="A679" s="121">
        <v>45211</v>
      </c>
      <c r="B679" s="122">
        <v>29036.17</v>
      </c>
    </row>
    <row r="680" spans="1:2">
      <c r="A680" s="121">
        <v>45210</v>
      </c>
      <c r="B680" s="122">
        <v>29061.61</v>
      </c>
    </row>
    <row r="681" spans="1:2">
      <c r="A681" s="121">
        <v>45209</v>
      </c>
      <c r="B681" s="122">
        <v>28883.35</v>
      </c>
    </row>
    <row r="682" spans="1:2">
      <c r="A682" s="121">
        <v>45208</v>
      </c>
      <c r="B682" s="122">
        <v>28622.98</v>
      </c>
    </row>
    <row r="683" spans="1:2">
      <c r="A683" s="121">
        <v>45205</v>
      </c>
      <c r="B683" s="122">
        <v>28830.080000000002</v>
      </c>
    </row>
    <row r="684" spans="1:2">
      <c r="A684" s="121">
        <v>45204</v>
      </c>
      <c r="B684" s="122">
        <v>28671.97</v>
      </c>
    </row>
    <row r="685" spans="1:2">
      <c r="A685" s="121">
        <v>45203</v>
      </c>
      <c r="B685" s="122">
        <v>28511.13</v>
      </c>
    </row>
    <row r="686" spans="1:2">
      <c r="A686" s="121">
        <v>45202</v>
      </c>
      <c r="B686" s="122">
        <v>28647.040000000001</v>
      </c>
    </row>
    <row r="687" spans="1:2">
      <c r="A687" s="121">
        <v>45198</v>
      </c>
      <c r="B687" s="122">
        <v>28807.77</v>
      </c>
    </row>
    <row r="688" spans="1:2">
      <c r="A688" s="121">
        <v>45197</v>
      </c>
      <c r="B688" s="122">
        <v>28639.439999999999</v>
      </c>
    </row>
    <row r="689" spans="1:2">
      <c r="A689" s="121">
        <v>45196</v>
      </c>
      <c r="B689" s="122">
        <v>28922.43</v>
      </c>
    </row>
    <row r="690" spans="1:2">
      <c r="A690" s="121">
        <v>45195</v>
      </c>
      <c r="B690" s="122">
        <v>28846.47</v>
      </c>
    </row>
    <row r="691" spans="1:2">
      <c r="A691" s="121">
        <v>45194</v>
      </c>
      <c r="B691" s="122">
        <v>28860.9</v>
      </c>
    </row>
    <row r="692" spans="1:2">
      <c r="A692" s="121">
        <v>45191</v>
      </c>
      <c r="B692" s="122">
        <v>28860.46</v>
      </c>
    </row>
    <row r="693" spans="1:2">
      <c r="A693" s="121">
        <v>45190</v>
      </c>
      <c r="B693" s="122">
        <v>28960.36</v>
      </c>
    </row>
    <row r="694" spans="1:2">
      <c r="A694" s="121">
        <v>45189</v>
      </c>
      <c r="B694" s="122">
        <v>29193.69</v>
      </c>
    </row>
    <row r="695" spans="1:2">
      <c r="A695" s="121">
        <v>45187</v>
      </c>
      <c r="B695" s="122">
        <v>29533.91</v>
      </c>
    </row>
    <row r="696" spans="1:2">
      <c r="A696" s="121">
        <v>45184</v>
      </c>
      <c r="B696" s="122">
        <v>29620.53</v>
      </c>
    </row>
    <row r="697" spans="1:2">
      <c r="A697" s="121">
        <v>45183</v>
      </c>
      <c r="B697" s="122">
        <v>29489.61</v>
      </c>
    </row>
    <row r="698" spans="1:2">
      <c r="A698" s="121">
        <v>45182</v>
      </c>
      <c r="B698" s="122">
        <v>29441.040000000001</v>
      </c>
    </row>
    <row r="699" spans="1:2">
      <c r="A699" s="121">
        <v>45181</v>
      </c>
      <c r="B699" s="122">
        <v>29328.37</v>
      </c>
    </row>
    <row r="700" spans="1:2">
      <c r="A700" s="121">
        <v>45180</v>
      </c>
      <c r="B700" s="122">
        <v>29333</v>
      </c>
    </row>
    <row r="701" spans="1:2">
      <c r="A701" s="121">
        <v>45177</v>
      </c>
      <c r="B701" s="122">
        <v>29074.22</v>
      </c>
    </row>
    <row r="702" spans="1:2">
      <c r="A702" s="121">
        <v>45176</v>
      </c>
      <c r="B702" s="122">
        <v>28937.96</v>
      </c>
    </row>
    <row r="703" spans="1:2">
      <c r="A703" s="121">
        <v>45175</v>
      </c>
      <c r="B703" s="122">
        <v>28767.78</v>
      </c>
    </row>
    <row r="704" spans="1:2">
      <c r="A704" s="121">
        <v>45174</v>
      </c>
      <c r="B704" s="122">
        <v>28714.78</v>
      </c>
    </row>
    <row r="705" spans="1:2">
      <c r="A705" s="121">
        <v>45173</v>
      </c>
      <c r="B705" s="122">
        <v>28647.16</v>
      </c>
    </row>
    <row r="706" spans="1:2">
      <c r="A706" s="121">
        <v>45170</v>
      </c>
      <c r="B706" s="122">
        <v>28509.94</v>
      </c>
    </row>
    <row r="707" spans="1:2">
      <c r="A707" s="121">
        <v>45169</v>
      </c>
      <c r="B707" s="122">
        <v>28243.74</v>
      </c>
    </row>
    <row r="708" spans="1:2">
      <c r="A708" s="121">
        <v>45168</v>
      </c>
      <c r="B708" s="122">
        <v>28381.13</v>
      </c>
    </row>
    <row r="709" spans="1:2">
      <c r="A709" s="121">
        <v>45167</v>
      </c>
      <c r="B709" s="122">
        <v>28374.03</v>
      </c>
    </row>
    <row r="710" spans="1:2">
      <c r="A710" s="121">
        <v>45166</v>
      </c>
      <c r="B710" s="122">
        <v>28320.400000000001</v>
      </c>
    </row>
    <row r="711" spans="1:2">
      <c r="A711" s="121">
        <v>45163</v>
      </c>
      <c r="B711" s="122">
        <v>28261.32</v>
      </c>
    </row>
    <row r="712" spans="1:2">
      <c r="A712" s="121">
        <v>45162</v>
      </c>
      <c r="B712" s="122">
        <v>28438.68</v>
      </c>
    </row>
    <row r="713" spans="1:2">
      <c r="A713" s="121">
        <v>45161</v>
      </c>
      <c r="B713" s="122">
        <v>28522.76</v>
      </c>
    </row>
    <row r="714" spans="1:2">
      <c r="A714" s="121">
        <v>45160</v>
      </c>
      <c r="B714" s="122">
        <v>28453.01</v>
      </c>
    </row>
    <row r="715" spans="1:2">
      <c r="A715" s="121">
        <v>45159</v>
      </c>
      <c r="B715" s="122">
        <v>28448.83</v>
      </c>
    </row>
    <row r="716" spans="1:2">
      <c r="A716" s="121">
        <v>45156</v>
      </c>
      <c r="B716" s="122">
        <v>28316.31</v>
      </c>
    </row>
    <row r="717" spans="1:2">
      <c r="A717" s="121">
        <v>45155</v>
      </c>
      <c r="B717" s="122">
        <v>28393.16</v>
      </c>
    </row>
    <row r="718" spans="1:2">
      <c r="A718" s="121">
        <v>45154</v>
      </c>
      <c r="B718" s="122">
        <v>28539.38</v>
      </c>
    </row>
    <row r="719" spans="1:2">
      <c r="A719" s="121">
        <v>45152</v>
      </c>
      <c r="B719" s="122">
        <v>28494.78</v>
      </c>
    </row>
    <row r="720" spans="1:2">
      <c r="A720" s="121">
        <v>45149</v>
      </c>
      <c r="B720" s="122">
        <v>28482.45</v>
      </c>
    </row>
    <row r="721" spans="1:2">
      <c r="A721" s="121">
        <v>45148</v>
      </c>
      <c r="B721" s="122">
        <v>28638.92</v>
      </c>
    </row>
    <row r="722" spans="1:2">
      <c r="A722" s="121">
        <v>45147</v>
      </c>
      <c r="B722" s="122">
        <v>28769.97</v>
      </c>
    </row>
    <row r="723" spans="1:2">
      <c r="A723" s="121">
        <v>45146</v>
      </c>
      <c r="B723" s="122">
        <v>28661.08</v>
      </c>
    </row>
    <row r="724" spans="1:2">
      <c r="A724" s="121">
        <v>45145</v>
      </c>
      <c r="B724" s="122">
        <v>28699.8</v>
      </c>
    </row>
    <row r="725" spans="1:2">
      <c r="A725" s="121">
        <v>45142</v>
      </c>
      <c r="B725" s="122">
        <v>28582.25</v>
      </c>
    </row>
    <row r="726" spans="1:2">
      <c r="A726" s="121">
        <v>45141</v>
      </c>
      <c r="B726" s="122">
        <v>28383.279999999999</v>
      </c>
    </row>
    <row r="727" spans="1:2">
      <c r="A727" s="121">
        <v>45140</v>
      </c>
      <c r="B727" s="122">
        <v>28589.81</v>
      </c>
    </row>
    <row r="728" spans="1:2">
      <c r="A728" s="121">
        <v>45139</v>
      </c>
      <c r="B728" s="122">
        <v>28880.78</v>
      </c>
    </row>
    <row r="729" spans="1:2">
      <c r="A729" s="121">
        <v>45138</v>
      </c>
      <c r="B729" s="122">
        <v>28910.43</v>
      </c>
    </row>
    <row r="730" spans="1:2">
      <c r="A730" s="121">
        <v>45135</v>
      </c>
      <c r="B730" s="122">
        <v>28752.69</v>
      </c>
    </row>
    <row r="731" spans="1:2">
      <c r="A731" s="121">
        <v>45134</v>
      </c>
      <c r="B731" s="122">
        <v>28769.02</v>
      </c>
    </row>
    <row r="732" spans="1:2">
      <c r="A732" s="121">
        <v>45133</v>
      </c>
      <c r="B732" s="122">
        <v>28939.3</v>
      </c>
    </row>
    <row r="733" spans="1:2">
      <c r="A733" s="121">
        <v>45132</v>
      </c>
      <c r="B733" s="122">
        <v>28796.35</v>
      </c>
    </row>
    <row r="734" spans="1:2">
      <c r="A734" s="121">
        <v>45131</v>
      </c>
      <c r="B734" s="122">
        <v>28784.26</v>
      </c>
    </row>
    <row r="735" spans="1:2">
      <c r="A735" s="121">
        <v>45128</v>
      </c>
      <c r="B735" s="122">
        <v>28890.53</v>
      </c>
    </row>
    <row r="736" spans="1:2">
      <c r="A736" s="121">
        <v>45127</v>
      </c>
      <c r="B736" s="122">
        <v>29231.71</v>
      </c>
    </row>
    <row r="737" spans="1:2">
      <c r="A737" s="121">
        <v>45126</v>
      </c>
      <c r="B737" s="122">
        <v>29011.55</v>
      </c>
    </row>
    <row r="738" spans="1:2">
      <c r="A738" s="121">
        <v>45125</v>
      </c>
      <c r="B738" s="122">
        <v>28888.85</v>
      </c>
    </row>
    <row r="739" spans="1:2">
      <c r="A739" s="121">
        <v>45124</v>
      </c>
      <c r="B739" s="122">
        <v>28833.54</v>
      </c>
    </row>
    <row r="740" spans="1:2">
      <c r="A740" s="121">
        <v>45121</v>
      </c>
      <c r="B740" s="122">
        <v>28618.6</v>
      </c>
    </row>
    <row r="741" spans="1:2">
      <c r="A741" s="121">
        <v>45120</v>
      </c>
      <c r="B741" s="122">
        <v>28393.32</v>
      </c>
    </row>
    <row r="742" spans="1:2">
      <c r="A742" s="121">
        <v>45119</v>
      </c>
      <c r="B742" s="122">
        <v>28348.880000000001</v>
      </c>
    </row>
    <row r="743" spans="1:2">
      <c r="A743" s="121">
        <v>45118</v>
      </c>
      <c r="B743" s="122">
        <v>28429.42</v>
      </c>
    </row>
    <row r="744" spans="1:2">
      <c r="A744" s="121">
        <v>45117</v>
      </c>
      <c r="B744" s="122">
        <v>28304.66</v>
      </c>
    </row>
    <row r="745" spans="1:2">
      <c r="A745" s="121">
        <v>45114</v>
      </c>
      <c r="B745" s="122">
        <v>28269.43</v>
      </c>
    </row>
    <row r="746" spans="1:2">
      <c r="A746" s="121">
        <v>45113</v>
      </c>
      <c r="B746" s="122">
        <v>28510.39</v>
      </c>
    </row>
    <row r="747" spans="1:2">
      <c r="A747" s="121">
        <v>45112</v>
      </c>
      <c r="B747" s="122">
        <v>28365.96</v>
      </c>
    </row>
    <row r="748" spans="1:2">
      <c r="A748" s="121">
        <v>45111</v>
      </c>
      <c r="B748" s="122">
        <v>28352.01</v>
      </c>
    </row>
    <row r="749" spans="1:2">
      <c r="A749" s="121">
        <v>45110</v>
      </c>
      <c r="B749" s="122">
        <v>28254.9</v>
      </c>
    </row>
    <row r="750" spans="1:2">
      <c r="A750" s="121">
        <v>45107</v>
      </c>
      <c r="B750" s="122">
        <v>28059.65</v>
      </c>
    </row>
    <row r="751" spans="1:2">
      <c r="A751" s="121">
        <v>45105</v>
      </c>
      <c r="B751" s="122">
        <v>27739.64</v>
      </c>
    </row>
    <row r="752" spans="1:2">
      <c r="A752" s="121">
        <v>45104</v>
      </c>
      <c r="B752" s="122">
        <v>27513.45</v>
      </c>
    </row>
    <row r="753" spans="1:2">
      <c r="A753" s="121">
        <v>45103</v>
      </c>
      <c r="B753" s="122">
        <v>27328.91</v>
      </c>
    </row>
    <row r="754" spans="1:2">
      <c r="A754" s="121">
        <v>45100</v>
      </c>
      <c r="B754" s="122">
        <v>27291.39</v>
      </c>
    </row>
    <row r="755" spans="1:2">
      <c r="A755" s="121">
        <v>45099</v>
      </c>
      <c r="B755" s="122">
        <v>27445.97</v>
      </c>
    </row>
    <row r="756" spans="1:2">
      <c r="A756" s="121">
        <v>45098</v>
      </c>
      <c r="B756" s="122">
        <v>27571.14</v>
      </c>
    </row>
    <row r="757" spans="1:2">
      <c r="A757" s="121">
        <v>45097</v>
      </c>
      <c r="B757" s="122">
        <v>27512.41</v>
      </c>
    </row>
    <row r="758" spans="1:2">
      <c r="A758" s="121">
        <v>45096</v>
      </c>
      <c r="B758" s="122">
        <v>27422.87</v>
      </c>
    </row>
    <row r="759" spans="1:2">
      <c r="A759" s="121">
        <v>45093</v>
      </c>
      <c r="B759" s="122">
        <v>27519.439999999999</v>
      </c>
    </row>
    <row r="760" spans="1:2">
      <c r="A760" s="121">
        <v>45092</v>
      </c>
      <c r="B760" s="122">
        <v>27317.25</v>
      </c>
    </row>
    <row r="761" spans="1:2">
      <c r="A761" s="121">
        <v>45091</v>
      </c>
      <c r="B761" s="122">
        <v>27408.12</v>
      </c>
    </row>
    <row r="762" spans="1:2">
      <c r="A762" s="121">
        <v>45090</v>
      </c>
      <c r="B762" s="122">
        <v>27350.09</v>
      </c>
    </row>
    <row r="763" spans="1:2">
      <c r="A763" s="121">
        <v>45089</v>
      </c>
      <c r="B763" s="122">
        <v>27182.55</v>
      </c>
    </row>
    <row r="764" spans="1:2">
      <c r="A764" s="121">
        <v>45086</v>
      </c>
      <c r="B764" s="122">
        <v>27126.86</v>
      </c>
    </row>
    <row r="765" spans="1:2">
      <c r="A765" s="121">
        <v>45085</v>
      </c>
      <c r="B765" s="122">
        <v>27227.59</v>
      </c>
    </row>
    <row r="766" spans="1:2">
      <c r="A766" s="121">
        <v>45084</v>
      </c>
      <c r="B766" s="122">
        <v>27361.85</v>
      </c>
    </row>
    <row r="767" spans="1:2">
      <c r="A767" s="121">
        <v>45083</v>
      </c>
      <c r="B767" s="122">
        <v>27175.7</v>
      </c>
    </row>
    <row r="768" spans="1:2">
      <c r="A768" s="121">
        <v>45082</v>
      </c>
      <c r="B768" s="122">
        <v>27168.13</v>
      </c>
    </row>
    <row r="769" spans="1:2">
      <c r="A769" s="121">
        <v>45079</v>
      </c>
      <c r="B769" s="122">
        <v>27080.87</v>
      </c>
    </row>
    <row r="770" spans="1:2">
      <c r="A770" s="121">
        <v>45078</v>
      </c>
      <c r="B770" s="122">
        <v>26989.35</v>
      </c>
    </row>
    <row r="771" spans="1:2">
      <c r="A771" s="121">
        <v>45077</v>
      </c>
      <c r="B771" s="122">
        <v>27057.439999999999</v>
      </c>
    </row>
    <row r="772" spans="1:2">
      <c r="A772" s="121">
        <v>45076</v>
      </c>
      <c r="B772" s="122">
        <v>27188.18</v>
      </c>
    </row>
    <row r="773" spans="1:2">
      <c r="A773" s="121">
        <v>45075</v>
      </c>
      <c r="B773" s="122">
        <v>27136.82</v>
      </c>
    </row>
    <row r="774" spans="1:2">
      <c r="A774" s="121">
        <v>45072</v>
      </c>
      <c r="B774" s="122">
        <v>26991.87</v>
      </c>
    </row>
    <row r="775" spans="1:2">
      <c r="A775" s="121">
        <v>45071</v>
      </c>
      <c r="B775" s="122">
        <v>26731.86</v>
      </c>
    </row>
    <row r="776" spans="1:2">
      <c r="A776" s="121">
        <v>45070</v>
      </c>
      <c r="B776" s="122">
        <v>26679.72</v>
      </c>
    </row>
    <row r="777" spans="1:2">
      <c r="A777" s="121">
        <v>45069</v>
      </c>
      <c r="B777" s="122">
        <v>26771.1</v>
      </c>
    </row>
    <row r="778" spans="1:2">
      <c r="A778" s="121">
        <v>45068</v>
      </c>
      <c r="B778" s="122">
        <v>26722.03</v>
      </c>
    </row>
    <row r="779" spans="1:2">
      <c r="A779" s="121">
        <v>45065</v>
      </c>
      <c r="B779" s="122">
        <v>26560.1</v>
      </c>
    </row>
    <row r="780" spans="1:2">
      <c r="A780" s="121">
        <v>45064</v>
      </c>
      <c r="B780" s="122">
        <v>26451.26</v>
      </c>
    </row>
    <row r="781" spans="1:2">
      <c r="A781" s="121">
        <v>45063</v>
      </c>
      <c r="B781" s="122">
        <v>26526.82</v>
      </c>
    </row>
    <row r="782" spans="1:2">
      <c r="A782" s="121">
        <v>45062</v>
      </c>
      <c r="B782" s="122">
        <v>26679.67</v>
      </c>
    </row>
    <row r="783" spans="1:2">
      <c r="A783" s="121">
        <v>45061</v>
      </c>
      <c r="B783" s="122">
        <v>26789.02</v>
      </c>
    </row>
    <row r="784" spans="1:2">
      <c r="A784" s="121">
        <v>45058</v>
      </c>
      <c r="B784" s="122">
        <v>26666.67</v>
      </c>
    </row>
    <row r="785" spans="1:2">
      <c r="A785" s="121">
        <v>45057</v>
      </c>
      <c r="B785" s="122">
        <v>26640.77</v>
      </c>
    </row>
    <row r="786" spans="1:2">
      <c r="A786" s="121">
        <v>45056</v>
      </c>
      <c r="B786" s="122">
        <v>26667.11</v>
      </c>
    </row>
    <row r="787" spans="1:2">
      <c r="A787" s="121">
        <v>45055</v>
      </c>
      <c r="B787" s="122">
        <v>26595.52</v>
      </c>
    </row>
    <row r="788" spans="1:2">
      <c r="A788" s="121">
        <v>45054</v>
      </c>
      <c r="B788" s="122">
        <v>26593.29</v>
      </c>
    </row>
    <row r="789" spans="1:2">
      <c r="A789" s="121">
        <v>45051</v>
      </c>
      <c r="B789" s="122">
        <v>26308.78</v>
      </c>
    </row>
    <row r="790" spans="1:2">
      <c r="A790" s="121">
        <v>45050</v>
      </c>
      <c r="B790" s="122">
        <v>26580.77</v>
      </c>
    </row>
    <row r="791" spans="1:2">
      <c r="A791" s="121">
        <v>45049</v>
      </c>
      <c r="B791" s="122">
        <v>26339.14</v>
      </c>
    </row>
    <row r="792" spans="1:2">
      <c r="A792" s="121">
        <v>45048</v>
      </c>
      <c r="B792" s="122">
        <v>26423.3</v>
      </c>
    </row>
    <row r="793" spans="1:2">
      <c r="A793" s="121">
        <v>45044</v>
      </c>
      <c r="B793" s="122">
        <v>26302.92</v>
      </c>
    </row>
    <row r="794" spans="1:2">
      <c r="A794" s="121">
        <v>45043</v>
      </c>
      <c r="B794" s="122">
        <v>26078.38</v>
      </c>
    </row>
    <row r="795" spans="1:2">
      <c r="A795" s="121">
        <v>45042</v>
      </c>
      <c r="B795" s="122">
        <v>25930.7</v>
      </c>
    </row>
    <row r="796" spans="1:2">
      <c r="A796" s="121">
        <v>45041</v>
      </c>
      <c r="B796" s="122">
        <v>25866.09</v>
      </c>
    </row>
    <row r="797" spans="1:2">
      <c r="A797" s="121">
        <v>45040</v>
      </c>
      <c r="B797" s="122">
        <v>25828.46</v>
      </c>
    </row>
    <row r="798" spans="1:2">
      <c r="A798" s="121">
        <v>45037</v>
      </c>
      <c r="B798" s="122">
        <v>25654.78</v>
      </c>
    </row>
    <row r="799" spans="1:2">
      <c r="A799" s="121">
        <v>45036</v>
      </c>
      <c r="B799" s="122">
        <v>25654.16</v>
      </c>
    </row>
    <row r="800" spans="1:2">
      <c r="A800" s="121">
        <v>45035</v>
      </c>
      <c r="B800" s="122">
        <v>25645.82</v>
      </c>
    </row>
    <row r="801" spans="1:2">
      <c r="A801" s="121">
        <v>45034</v>
      </c>
      <c r="B801" s="122">
        <v>25706.09</v>
      </c>
    </row>
    <row r="802" spans="1:2">
      <c r="A802" s="121">
        <v>45033</v>
      </c>
      <c r="B802" s="122">
        <v>25774.07</v>
      </c>
    </row>
    <row r="803" spans="1:2">
      <c r="A803" s="121">
        <v>45029</v>
      </c>
      <c r="B803" s="122">
        <v>25950.39</v>
      </c>
    </row>
    <row r="804" spans="1:2">
      <c r="A804" s="121">
        <v>45028</v>
      </c>
      <c r="B804" s="122">
        <v>25924.89</v>
      </c>
    </row>
    <row r="805" spans="1:2">
      <c r="A805" s="121">
        <v>45027</v>
      </c>
      <c r="B805" s="122">
        <v>25793.77</v>
      </c>
    </row>
    <row r="806" spans="1:2">
      <c r="A806" s="121">
        <v>45026</v>
      </c>
      <c r="B806" s="122">
        <v>25650.73</v>
      </c>
    </row>
    <row r="807" spans="1:2">
      <c r="A807" s="121">
        <v>45022</v>
      </c>
      <c r="B807" s="122">
        <v>25614.55</v>
      </c>
    </row>
    <row r="808" spans="1:2">
      <c r="A808" s="121">
        <v>45021</v>
      </c>
      <c r="B808" s="122">
        <v>25553.279999999999</v>
      </c>
    </row>
    <row r="809" spans="1:2">
      <c r="A809" s="121">
        <v>45019</v>
      </c>
      <c r="B809" s="122">
        <v>25321.85</v>
      </c>
    </row>
    <row r="810" spans="1:2">
      <c r="A810" s="121">
        <v>45016</v>
      </c>
      <c r="B810" s="122">
        <v>25266.06</v>
      </c>
    </row>
    <row r="811" spans="1:2">
      <c r="A811" s="121">
        <v>45014</v>
      </c>
      <c r="B811" s="122">
        <v>24859.93</v>
      </c>
    </row>
    <row r="812" spans="1:2">
      <c r="A812" s="121">
        <v>45013</v>
      </c>
      <c r="B812" s="122">
        <v>24672.17</v>
      </c>
    </row>
    <row r="813" spans="1:2">
      <c r="A813" s="121">
        <v>45012</v>
      </c>
      <c r="B813" s="122">
        <v>24721.71</v>
      </c>
    </row>
    <row r="814" spans="1:2">
      <c r="A814" s="121">
        <v>45009</v>
      </c>
      <c r="B814" s="122">
        <v>24662.53</v>
      </c>
    </row>
    <row r="815" spans="1:2">
      <c r="A815" s="121">
        <v>45008</v>
      </c>
      <c r="B815" s="122">
        <v>24854.39</v>
      </c>
    </row>
    <row r="816" spans="1:2">
      <c r="A816" s="121">
        <v>45007</v>
      </c>
      <c r="B816" s="122">
        <v>24963.55</v>
      </c>
    </row>
    <row r="817" spans="1:2">
      <c r="A817" s="121">
        <v>45006</v>
      </c>
      <c r="B817" s="122">
        <v>24898.97</v>
      </c>
    </row>
    <row r="818" spans="1:2">
      <c r="A818" s="121">
        <v>45005</v>
      </c>
      <c r="B818" s="122">
        <v>24725.599999999999</v>
      </c>
    </row>
    <row r="819" spans="1:2">
      <c r="A819" s="121">
        <v>45002</v>
      </c>
      <c r="B819" s="122">
        <v>24888.1</v>
      </c>
    </row>
    <row r="820" spans="1:2">
      <c r="A820" s="121">
        <v>45001</v>
      </c>
      <c r="B820" s="122">
        <v>24721.52</v>
      </c>
    </row>
    <row r="821" spans="1:2">
      <c r="A821" s="121">
        <v>45000</v>
      </c>
      <c r="B821" s="122">
        <v>24701.599999999999</v>
      </c>
    </row>
    <row r="822" spans="1:2">
      <c r="A822" s="121">
        <v>44999</v>
      </c>
      <c r="B822" s="122">
        <v>24805.11</v>
      </c>
    </row>
    <row r="823" spans="1:2">
      <c r="A823" s="121">
        <v>44998</v>
      </c>
      <c r="B823" s="122">
        <v>24966.68</v>
      </c>
    </row>
    <row r="824" spans="1:2">
      <c r="A824" s="121">
        <v>44995</v>
      </c>
      <c r="B824" s="122">
        <v>25343.09</v>
      </c>
    </row>
    <row r="825" spans="1:2">
      <c r="A825" s="121">
        <v>44994</v>
      </c>
      <c r="B825" s="122">
        <v>25600.240000000002</v>
      </c>
    </row>
    <row r="826" spans="1:2">
      <c r="A826" s="121">
        <v>44993</v>
      </c>
      <c r="B826" s="122">
        <v>25840.12</v>
      </c>
    </row>
    <row r="827" spans="1:2">
      <c r="A827" s="121">
        <v>44991</v>
      </c>
      <c r="B827" s="122">
        <v>25777.599999999999</v>
      </c>
    </row>
    <row r="828" spans="1:2">
      <c r="A828" s="121">
        <v>44988</v>
      </c>
      <c r="B828" s="122">
        <v>25607.14</v>
      </c>
    </row>
    <row r="829" spans="1:2">
      <c r="A829" s="121">
        <v>44987</v>
      </c>
      <c r="B829" s="122">
        <v>25210.65</v>
      </c>
    </row>
    <row r="830" spans="1:2">
      <c r="A830" s="121">
        <v>44986</v>
      </c>
      <c r="B830" s="122">
        <v>25398.400000000001</v>
      </c>
    </row>
    <row r="831" spans="1:2">
      <c r="A831" s="121">
        <v>44985</v>
      </c>
      <c r="B831" s="122">
        <v>25184.47</v>
      </c>
    </row>
    <row r="832" spans="1:2">
      <c r="A832" s="121">
        <v>44984</v>
      </c>
      <c r="B832" s="122">
        <v>25313.7</v>
      </c>
    </row>
    <row r="833" spans="1:2">
      <c r="A833" s="121">
        <v>44981</v>
      </c>
      <c r="B833" s="122">
        <v>25420.07</v>
      </c>
    </row>
    <row r="834" spans="1:2">
      <c r="A834" s="121">
        <v>44980</v>
      </c>
      <c r="B834" s="122">
        <v>25485.97</v>
      </c>
    </row>
    <row r="835" spans="1:2">
      <c r="A835" s="121">
        <v>44979</v>
      </c>
      <c r="B835" s="122">
        <v>25548.67</v>
      </c>
    </row>
    <row r="836" spans="1:2">
      <c r="A836" s="121">
        <v>44978</v>
      </c>
      <c r="B836" s="122">
        <v>25945.08</v>
      </c>
    </row>
    <row r="837" spans="1:2">
      <c r="A837" s="121">
        <v>44977</v>
      </c>
      <c r="B837" s="122">
        <v>25971.19</v>
      </c>
    </row>
    <row r="838" spans="1:2">
      <c r="A838" s="121">
        <v>44974</v>
      </c>
      <c r="B838" s="122">
        <v>26116.12</v>
      </c>
    </row>
    <row r="839" spans="1:2">
      <c r="A839" s="121">
        <v>44973</v>
      </c>
      <c r="B839" s="122">
        <v>26249.52</v>
      </c>
    </row>
    <row r="840" spans="1:2">
      <c r="A840" s="121">
        <v>44972</v>
      </c>
      <c r="B840" s="122">
        <v>26220.43</v>
      </c>
    </row>
    <row r="841" spans="1:2">
      <c r="A841" s="121">
        <v>44971</v>
      </c>
      <c r="B841" s="122">
        <v>26077.93</v>
      </c>
    </row>
    <row r="842" spans="1:2">
      <c r="A842" s="121">
        <v>44970</v>
      </c>
      <c r="B842" s="122">
        <v>25846.7</v>
      </c>
    </row>
    <row r="843" spans="1:2">
      <c r="A843" s="121">
        <v>44967</v>
      </c>
      <c r="B843" s="122">
        <v>25971.23</v>
      </c>
    </row>
    <row r="844" spans="1:2">
      <c r="A844" s="121">
        <v>44966</v>
      </c>
      <c r="B844" s="122">
        <v>26024.94</v>
      </c>
    </row>
    <row r="845" spans="1:2">
      <c r="A845" s="121">
        <v>44965</v>
      </c>
      <c r="B845" s="122">
        <v>25993.34</v>
      </c>
    </row>
    <row r="846" spans="1:2">
      <c r="A846" s="121">
        <v>44964</v>
      </c>
      <c r="B846" s="122">
        <v>25772.19</v>
      </c>
    </row>
    <row r="847" spans="1:2">
      <c r="A847" s="121">
        <v>44963</v>
      </c>
      <c r="B847" s="122">
        <v>25834.87</v>
      </c>
    </row>
    <row r="848" spans="1:2">
      <c r="A848" s="121">
        <v>44960</v>
      </c>
      <c r="B848" s="122">
        <v>25965</v>
      </c>
    </row>
    <row r="849" spans="1:2">
      <c r="A849" s="121">
        <v>44959</v>
      </c>
      <c r="B849" s="122">
        <v>25610.65</v>
      </c>
    </row>
    <row r="850" spans="1:2">
      <c r="A850" s="121">
        <v>44958</v>
      </c>
      <c r="B850" s="122">
        <v>25619.24</v>
      </c>
    </row>
    <row r="851" spans="1:2">
      <c r="A851" s="121">
        <v>44957</v>
      </c>
      <c r="B851" s="122">
        <v>25685.94</v>
      </c>
    </row>
    <row r="852" spans="1:2">
      <c r="A852" s="121">
        <v>44956</v>
      </c>
      <c r="B852" s="122">
        <v>25666.69</v>
      </c>
    </row>
    <row r="853" spans="1:2">
      <c r="A853" s="121">
        <v>44953</v>
      </c>
      <c r="B853" s="122">
        <v>25601.88</v>
      </c>
    </row>
    <row r="854" spans="1:2">
      <c r="A854" s="121">
        <v>44951</v>
      </c>
      <c r="B854" s="122">
        <v>26020.13</v>
      </c>
    </row>
    <row r="855" spans="1:2">
      <c r="A855" s="121">
        <v>44950</v>
      </c>
      <c r="B855" s="122">
        <v>26349.279999999999</v>
      </c>
    </row>
    <row r="856" spans="1:2">
      <c r="A856" s="121">
        <v>44949</v>
      </c>
      <c r="B856" s="122">
        <v>26349.14</v>
      </c>
    </row>
    <row r="857" spans="1:2">
      <c r="A857" s="121">
        <v>44946</v>
      </c>
      <c r="B857" s="122">
        <v>26216.94</v>
      </c>
    </row>
    <row r="858" spans="1:2">
      <c r="A858" s="121">
        <v>44945</v>
      </c>
      <c r="B858" s="122">
        <v>26333.57</v>
      </c>
    </row>
    <row r="859" spans="1:2">
      <c r="A859" s="121">
        <v>44944</v>
      </c>
      <c r="B859" s="122">
        <v>26413.71</v>
      </c>
    </row>
    <row r="860" spans="1:2">
      <c r="A860" s="121">
        <v>44943</v>
      </c>
      <c r="B860" s="122">
        <v>26250.81</v>
      </c>
    </row>
    <row r="861" spans="1:2">
      <c r="A861" s="121">
        <v>44942</v>
      </c>
      <c r="B861" s="122">
        <v>26020.39</v>
      </c>
    </row>
    <row r="862" spans="1:2">
      <c r="A862" s="121">
        <v>44939</v>
      </c>
      <c r="B862" s="122">
        <v>26110.2</v>
      </c>
    </row>
    <row r="863" spans="1:2">
      <c r="A863" s="121">
        <v>44938</v>
      </c>
      <c r="B863" s="122">
        <v>25967.07</v>
      </c>
    </row>
    <row r="864" spans="1:2">
      <c r="A864" s="121">
        <v>44937</v>
      </c>
      <c r="B864" s="122">
        <v>26021.599999999999</v>
      </c>
    </row>
    <row r="865" spans="1:2">
      <c r="A865" s="121">
        <v>44936</v>
      </c>
      <c r="B865" s="122">
        <v>26048.47</v>
      </c>
    </row>
    <row r="866" spans="1:2">
      <c r="A866" s="121">
        <v>44935</v>
      </c>
      <c r="B866" s="122">
        <v>26320.41</v>
      </c>
    </row>
    <row r="867" spans="1:2">
      <c r="A867" s="121">
        <v>44932</v>
      </c>
      <c r="B867" s="122">
        <v>25968.95</v>
      </c>
    </row>
    <row r="868" spans="1:2">
      <c r="A868" s="121">
        <v>44931</v>
      </c>
      <c r="B868" s="122">
        <v>26161.85</v>
      </c>
    </row>
    <row r="869" spans="1:2">
      <c r="A869" s="121">
        <v>44930</v>
      </c>
      <c r="B869" s="122">
        <v>26235.73</v>
      </c>
    </row>
    <row r="870" spans="1:2">
      <c r="A870" s="121">
        <v>44929</v>
      </c>
      <c r="B870" s="122">
        <v>26511.45</v>
      </c>
    </row>
    <row r="871" spans="1:2">
      <c r="A871" s="121">
        <v>44928</v>
      </c>
      <c r="B871" s="122">
        <v>26460.41</v>
      </c>
    </row>
    <row r="872" spans="1:2">
      <c r="A872" s="121">
        <v>44925</v>
      </c>
      <c r="B872" s="122">
        <v>26326.37</v>
      </c>
    </row>
    <row r="873" spans="1:2">
      <c r="A873" s="121">
        <v>44924</v>
      </c>
      <c r="B873" s="122">
        <v>26451.02</v>
      </c>
    </row>
    <row r="874" spans="1:2">
      <c r="A874" s="121">
        <v>44923</v>
      </c>
      <c r="B874" s="122">
        <v>26351.4</v>
      </c>
    </row>
    <row r="875" spans="1:2">
      <c r="A875" s="121">
        <v>44922</v>
      </c>
      <c r="B875" s="122">
        <v>26365.65</v>
      </c>
    </row>
    <row r="876" spans="1:2">
      <c r="A876" s="121">
        <v>44921</v>
      </c>
      <c r="B876" s="122">
        <v>26194.52</v>
      </c>
    </row>
    <row r="877" spans="1:2">
      <c r="A877" s="121">
        <v>44918</v>
      </c>
      <c r="B877" s="122">
        <v>25892.35</v>
      </c>
    </row>
    <row r="878" spans="1:2">
      <c r="A878" s="121">
        <v>44917</v>
      </c>
      <c r="B878" s="122">
        <v>26358.44</v>
      </c>
    </row>
    <row r="879" spans="1:2">
      <c r="A879" s="121">
        <v>44916</v>
      </c>
      <c r="B879" s="122">
        <v>26462.77</v>
      </c>
    </row>
    <row r="880" spans="1:2">
      <c r="A880" s="121">
        <v>44915</v>
      </c>
      <c r="B880" s="122">
        <v>26733.51</v>
      </c>
    </row>
    <row r="881" spans="1:2">
      <c r="A881" s="121">
        <v>44914</v>
      </c>
      <c r="B881" s="122">
        <v>26784.68</v>
      </c>
    </row>
    <row r="882" spans="1:2">
      <c r="A882" s="121">
        <v>44911</v>
      </c>
      <c r="B882" s="122">
        <v>26564.46</v>
      </c>
    </row>
    <row r="883" spans="1:2">
      <c r="A883" s="121">
        <v>44910</v>
      </c>
      <c r="B883" s="122">
        <v>26776.560000000001</v>
      </c>
    </row>
    <row r="884" spans="1:2">
      <c r="A884" s="121">
        <v>44909</v>
      </c>
      <c r="B884" s="122">
        <v>27133.4</v>
      </c>
    </row>
    <row r="885" spans="1:2">
      <c r="A885" s="121">
        <v>44908</v>
      </c>
      <c r="B885" s="122">
        <v>27057.35</v>
      </c>
    </row>
    <row r="886" spans="1:2">
      <c r="A886" s="121">
        <v>44907</v>
      </c>
      <c r="B886" s="122">
        <v>26896.21</v>
      </c>
    </row>
    <row r="887" spans="1:2">
      <c r="A887" s="121">
        <v>44904</v>
      </c>
      <c r="B887" s="122">
        <v>26895.35</v>
      </c>
    </row>
    <row r="888" spans="1:2">
      <c r="A888" s="121">
        <v>44903</v>
      </c>
      <c r="B888" s="122">
        <v>27059.31</v>
      </c>
    </row>
    <row r="889" spans="1:2">
      <c r="A889" s="121">
        <v>44902</v>
      </c>
      <c r="B889" s="122">
        <v>26988.31</v>
      </c>
    </row>
    <row r="890" spans="1:2">
      <c r="A890" s="121">
        <v>44901</v>
      </c>
      <c r="B890" s="122">
        <v>27107.87</v>
      </c>
    </row>
    <row r="891" spans="1:2">
      <c r="A891" s="121">
        <v>44900</v>
      </c>
      <c r="B891" s="122">
        <v>27192.639999999999</v>
      </c>
    </row>
    <row r="892" spans="1:2">
      <c r="A892" s="121">
        <v>44897</v>
      </c>
      <c r="B892" s="122">
        <v>27185.439999999999</v>
      </c>
    </row>
    <row r="893" spans="1:2">
      <c r="A893" s="121">
        <v>44896</v>
      </c>
      <c r="B893" s="122">
        <v>27354.74</v>
      </c>
    </row>
    <row r="894" spans="1:2">
      <c r="A894" s="121">
        <v>44895</v>
      </c>
      <c r="B894" s="122">
        <v>27276.01</v>
      </c>
    </row>
    <row r="895" spans="1:2">
      <c r="A895" s="121">
        <v>44894</v>
      </c>
      <c r="B895" s="122">
        <v>27071.98</v>
      </c>
    </row>
    <row r="896" spans="1:2">
      <c r="A896" s="121">
        <v>44893</v>
      </c>
      <c r="B896" s="122">
        <v>26991.599999999999</v>
      </c>
    </row>
    <row r="897" spans="1:2">
      <c r="A897" s="121">
        <v>44890</v>
      </c>
      <c r="B897" s="122">
        <v>26918.89</v>
      </c>
    </row>
    <row r="898" spans="1:2">
      <c r="A898" s="121">
        <v>44889</v>
      </c>
      <c r="B898" s="122">
        <v>26877.24</v>
      </c>
    </row>
    <row r="899" spans="1:2">
      <c r="A899" s="121">
        <v>44888</v>
      </c>
      <c r="B899" s="122">
        <v>26561.89</v>
      </c>
    </row>
    <row r="900" spans="1:2">
      <c r="A900" s="121">
        <v>44887</v>
      </c>
      <c r="B900" s="122">
        <v>26528.400000000001</v>
      </c>
    </row>
    <row r="901" spans="1:2">
      <c r="A901" s="121">
        <v>44886</v>
      </c>
      <c r="B901" s="122">
        <v>26405.9</v>
      </c>
    </row>
    <row r="902" spans="1:2">
      <c r="A902" s="121">
        <v>44883</v>
      </c>
      <c r="B902" s="122">
        <v>26620.61</v>
      </c>
    </row>
    <row r="903" spans="1:2">
      <c r="A903" s="121">
        <v>44882</v>
      </c>
      <c r="B903" s="122">
        <v>26673.32</v>
      </c>
    </row>
    <row r="904" spans="1:2">
      <c r="A904" s="121">
        <v>44881</v>
      </c>
      <c r="B904" s="122">
        <v>26768.95</v>
      </c>
    </row>
    <row r="905" spans="1:2">
      <c r="A905" s="121">
        <v>44880</v>
      </c>
      <c r="B905" s="122">
        <v>26759.85</v>
      </c>
    </row>
    <row r="906" spans="1:2">
      <c r="A906" s="121">
        <v>44879</v>
      </c>
      <c r="B906" s="122">
        <v>26651.93</v>
      </c>
    </row>
    <row r="907" spans="1:2">
      <c r="A907" s="121">
        <v>44876</v>
      </c>
      <c r="B907" s="122">
        <v>26681.759999999998</v>
      </c>
    </row>
    <row r="908" spans="1:2">
      <c r="A908" s="121">
        <v>44875</v>
      </c>
      <c r="B908" s="122">
        <v>26214.31</v>
      </c>
    </row>
    <row r="909" spans="1:2">
      <c r="A909" s="121">
        <v>44874</v>
      </c>
      <c r="B909" s="122">
        <v>26401.58</v>
      </c>
    </row>
    <row r="910" spans="1:2">
      <c r="A910" s="121">
        <v>44872</v>
      </c>
      <c r="B910" s="122">
        <v>26464.44</v>
      </c>
    </row>
    <row r="911" spans="1:2">
      <c r="A911" s="121">
        <v>44869</v>
      </c>
      <c r="B911" s="122">
        <v>26339.9</v>
      </c>
    </row>
    <row r="912" spans="1:2">
      <c r="A912" s="121">
        <v>44868</v>
      </c>
      <c r="B912" s="122">
        <v>26246.23</v>
      </c>
    </row>
    <row r="913" spans="1:2">
      <c r="A913" s="121">
        <v>44867</v>
      </c>
      <c r="B913" s="122">
        <v>26290.01</v>
      </c>
    </row>
    <row r="914" spans="1:2">
      <c r="A914" s="121">
        <v>44866</v>
      </c>
      <c r="B914" s="122">
        <v>26380.97</v>
      </c>
    </row>
    <row r="915" spans="1:2">
      <c r="A915" s="121">
        <v>44865</v>
      </c>
      <c r="B915" s="122">
        <v>26182.36</v>
      </c>
    </row>
    <row r="916" spans="1:2">
      <c r="A916" s="121">
        <v>44862</v>
      </c>
      <c r="B916" s="122">
        <v>25852.720000000001</v>
      </c>
    </row>
    <row r="917" spans="1:2">
      <c r="A917" s="121">
        <v>44861</v>
      </c>
      <c r="B917" s="122">
        <v>25780.23</v>
      </c>
    </row>
    <row r="918" spans="1:2">
      <c r="A918" s="121">
        <v>44859</v>
      </c>
      <c r="B918" s="122">
        <v>25643.34</v>
      </c>
    </row>
    <row r="919" spans="1:2">
      <c r="A919" s="121">
        <v>44858</v>
      </c>
      <c r="B919" s="122">
        <v>25751.45</v>
      </c>
    </row>
    <row r="920" spans="1:2">
      <c r="A920" s="121">
        <v>44855</v>
      </c>
      <c r="B920" s="122">
        <v>25527.09</v>
      </c>
    </row>
    <row r="921" spans="1:2">
      <c r="A921" s="121">
        <v>44854</v>
      </c>
      <c r="B921" s="122">
        <v>25509.14</v>
      </c>
    </row>
    <row r="922" spans="1:2">
      <c r="A922" s="121">
        <v>44853</v>
      </c>
      <c r="B922" s="122">
        <v>25434.1</v>
      </c>
    </row>
    <row r="923" spans="1:2">
      <c r="A923" s="121">
        <v>44852</v>
      </c>
      <c r="B923" s="122">
        <v>25393.89</v>
      </c>
    </row>
    <row r="924" spans="1:2">
      <c r="A924" s="121">
        <v>44851</v>
      </c>
      <c r="B924" s="122">
        <v>25139.55</v>
      </c>
    </row>
    <row r="925" spans="1:2">
      <c r="A925" s="121">
        <v>44848</v>
      </c>
      <c r="B925" s="122">
        <v>24953.75</v>
      </c>
    </row>
    <row r="926" spans="1:2">
      <c r="A926" s="121">
        <v>44847</v>
      </c>
      <c r="B926" s="122">
        <v>24704.95</v>
      </c>
    </row>
    <row r="927" spans="1:2">
      <c r="A927" s="121">
        <v>44846</v>
      </c>
      <c r="B927" s="122">
        <v>24863.58</v>
      </c>
    </row>
    <row r="928" spans="1:2">
      <c r="A928" s="121">
        <v>44845</v>
      </c>
      <c r="B928" s="122">
        <v>24660.2</v>
      </c>
    </row>
    <row r="929" spans="1:2">
      <c r="A929" s="121">
        <v>44844</v>
      </c>
      <c r="B929" s="122">
        <v>25034.02</v>
      </c>
    </row>
    <row r="930" spans="1:2">
      <c r="A930" s="121">
        <v>44841</v>
      </c>
      <c r="B930" s="122">
        <v>25140.99</v>
      </c>
    </row>
    <row r="931" spans="1:2">
      <c r="A931" s="121">
        <v>44840</v>
      </c>
      <c r="B931" s="122">
        <v>25165.85</v>
      </c>
    </row>
    <row r="932" spans="1:2">
      <c r="A932" s="121">
        <v>44838</v>
      </c>
      <c r="B932" s="122">
        <v>25082.39</v>
      </c>
    </row>
    <row r="933" spans="1:2">
      <c r="A933" s="121">
        <v>44837</v>
      </c>
      <c r="B933" s="122">
        <v>24520.52</v>
      </c>
    </row>
    <row r="934" spans="1:2">
      <c r="A934" s="121">
        <v>44834</v>
      </c>
      <c r="B934" s="122">
        <v>24821.08</v>
      </c>
    </row>
    <row r="935" spans="1:2">
      <c r="A935" s="121">
        <v>44833</v>
      </c>
      <c r="B935" s="122">
        <v>24419.98</v>
      </c>
    </row>
    <row r="936" spans="1:2">
      <c r="A936" s="121">
        <v>44832</v>
      </c>
      <c r="B936" s="122">
        <v>24478.82</v>
      </c>
    </row>
    <row r="937" spans="1:2">
      <c r="A937" s="121">
        <v>44831</v>
      </c>
      <c r="B937" s="122">
        <v>24694.83</v>
      </c>
    </row>
    <row r="938" spans="1:2">
      <c r="A938" s="121">
        <v>44830</v>
      </c>
      <c r="B938" s="122">
        <v>24707.77</v>
      </c>
    </row>
    <row r="939" spans="1:2">
      <c r="A939" s="121">
        <v>44827</v>
      </c>
      <c r="B939" s="122">
        <v>25159.42</v>
      </c>
    </row>
    <row r="940" spans="1:2">
      <c r="A940" s="121">
        <v>44826</v>
      </c>
      <c r="B940" s="122">
        <v>25598.6</v>
      </c>
    </row>
    <row r="941" spans="1:2">
      <c r="A941" s="121">
        <v>44825</v>
      </c>
      <c r="B941" s="122">
        <v>25727.13</v>
      </c>
    </row>
    <row r="942" spans="1:2">
      <c r="A942" s="121">
        <v>44824</v>
      </c>
      <c r="B942" s="122">
        <v>25869.27</v>
      </c>
    </row>
    <row r="943" spans="1:2">
      <c r="A943" s="121">
        <v>44823</v>
      </c>
      <c r="B943" s="122">
        <v>25587.63</v>
      </c>
    </row>
    <row r="944" spans="1:2">
      <c r="A944" s="121">
        <v>44820</v>
      </c>
      <c r="B944" s="122">
        <v>25454.93</v>
      </c>
    </row>
    <row r="945" spans="1:2">
      <c r="A945" s="121">
        <v>44819</v>
      </c>
      <c r="B945" s="122">
        <v>25958.06</v>
      </c>
    </row>
    <row r="946" spans="1:2">
      <c r="A946" s="121">
        <v>44818</v>
      </c>
      <c r="B946" s="122">
        <v>26141.52</v>
      </c>
    </row>
    <row r="947" spans="1:2">
      <c r="A947" s="121">
        <v>44817</v>
      </c>
      <c r="B947" s="122">
        <v>26237.81</v>
      </c>
    </row>
    <row r="948" spans="1:2">
      <c r="A948" s="121">
        <v>44816</v>
      </c>
      <c r="B948" s="122">
        <v>26043.69</v>
      </c>
    </row>
    <row r="949" spans="1:2">
      <c r="A949" s="121">
        <v>44813</v>
      </c>
      <c r="B949" s="122">
        <v>25894.12</v>
      </c>
    </row>
    <row r="950" spans="1:2">
      <c r="A950" s="121">
        <v>44812</v>
      </c>
      <c r="B950" s="122">
        <v>25843.86</v>
      </c>
    </row>
    <row r="951" spans="1:2">
      <c r="A951" s="121">
        <v>44811</v>
      </c>
      <c r="B951" s="122">
        <v>25590.73</v>
      </c>
    </row>
    <row r="952" spans="1:2">
      <c r="A952" s="121">
        <v>44810</v>
      </c>
      <c r="B952" s="122">
        <v>25636.01</v>
      </c>
    </row>
    <row r="953" spans="1:2">
      <c r="A953" s="121">
        <v>44809</v>
      </c>
      <c r="B953" s="122">
        <v>25650.83</v>
      </c>
    </row>
    <row r="954" spans="1:2">
      <c r="A954" s="121">
        <v>44806</v>
      </c>
      <c r="B954" s="122">
        <v>25467.41</v>
      </c>
    </row>
    <row r="955" spans="1:2">
      <c r="A955" s="121">
        <v>44805</v>
      </c>
      <c r="B955" s="122">
        <v>25472.240000000002</v>
      </c>
    </row>
    <row r="956" spans="1:2">
      <c r="A956" s="121">
        <v>44803</v>
      </c>
      <c r="B956" s="122">
        <v>25786.59</v>
      </c>
    </row>
    <row r="957" spans="1:2">
      <c r="A957" s="121">
        <v>44802</v>
      </c>
      <c r="B957" s="122">
        <v>25138.400000000001</v>
      </c>
    </row>
    <row r="958" spans="1:2">
      <c r="A958" s="121">
        <v>44799</v>
      </c>
      <c r="B958" s="122">
        <v>25495.64</v>
      </c>
    </row>
    <row r="959" spans="1:2">
      <c r="A959" s="121">
        <v>44798</v>
      </c>
      <c r="B959" s="122">
        <v>25442.67</v>
      </c>
    </row>
    <row r="960" spans="1:2">
      <c r="A960" s="121">
        <v>44797</v>
      </c>
      <c r="B960" s="122">
        <v>25562.51</v>
      </c>
    </row>
    <row r="961" spans="1:2">
      <c r="A961" s="121">
        <v>44796</v>
      </c>
      <c r="B961" s="122">
        <v>25522.62</v>
      </c>
    </row>
    <row r="962" spans="1:2">
      <c r="A962" s="121">
        <v>44795</v>
      </c>
      <c r="B962" s="122">
        <v>25396.57</v>
      </c>
    </row>
    <row r="963" spans="1:2">
      <c r="A963" s="121">
        <v>44792</v>
      </c>
      <c r="B963" s="122">
        <v>25785.4</v>
      </c>
    </row>
    <row r="964" spans="1:2">
      <c r="A964" s="121">
        <v>44791</v>
      </c>
      <c r="B964" s="122">
        <v>26067.35</v>
      </c>
    </row>
    <row r="965" spans="1:2">
      <c r="A965" s="121">
        <v>44790</v>
      </c>
      <c r="B965" s="122">
        <v>26035.87</v>
      </c>
    </row>
    <row r="966" spans="1:2">
      <c r="A966" s="121">
        <v>44789</v>
      </c>
      <c r="B966" s="122">
        <v>25863.24</v>
      </c>
    </row>
    <row r="967" spans="1:2">
      <c r="A967" s="121">
        <v>44785</v>
      </c>
      <c r="B967" s="122">
        <v>25678.83</v>
      </c>
    </row>
    <row r="968" spans="1:2">
      <c r="A968" s="121">
        <v>44784</v>
      </c>
      <c r="B968" s="122">
        <v>25621.06</v>
      </c>
    </row>
    <row r="969" spans="1:2">
      <c r="A969" s="121">
        <v>44783</v>
      </c>
      <c r="B969" s="122">
        <v>25431.919999999998</v>
      </c>
    </row>
    <row r="970" spans="1:2">
      <c r="A970" s="121">
        <v>44781</v>
      </c>
      <c r="B970" s="122">
        <v>25413.25</v>
      </c>
    </row>
    <row r="971" spans="1:2">
      <c r="A971" s="121">
        <v>44778</v>
      </c>
      <c r="B971" s="122">
        <v>25215.93</v>
      </c>
    </row>
    <row r="972" spans="1:2">
      <c r="A972" s="121">
        <v>44777</v>
      </c>
      <c r="B972" s="122">
        <v>25193.41</v>
      </c>
    </row>
    <row r="973" spans="1:2">
      <c r="A973" s="121">
        <v>44776</v>
      </c>
      <c r="B973" s="122">
        <v>25202.38</v>
      </c>
    </row>
    <row r="974" spans="1:2">
      <c r="A974" s="121">
        <v>44775</v>
      </c>
      <c r="B974" s="122">
        <v>25137.82</v>
      </c>
    </row>
    <row r="975" spans="1:2">
      <c r="A975" s="121">
        <v>44774</v>
      </c>
      <c r="B975" s="122">
        <v>25128.57</v>
      </c>
    </row>
    <row r="976" spans="1:2">
      <c r="A976" s="121">
        <v>44771</v>
      </c>
      <c r="B976" s="122">
        <v>24862.7</v>
      </c>
    </row>
    <row r="977" spans="1:2">
      <c r="A977" s="121">
        <v>44770</v>
      </c>
      <c r="B977" s="122">
        <v>24531.38</v>
      </c>
    </row>
    <row r="978" spans="1:2">
      <c r="A978" s="121">
        <v>44769</v>
      </c>
      <c r="B978" s="122">
        <v>24114.41</v>
      </c>
    </row>
    <row r="979" spans="1:2">
      <c r="A979" s="121">
        <v>44768</v>
      </c>
      <c r="B979" s="122">
        <v>23882.26</v>
      </c>
    </row>
    <row r="980" spans="1:2">
      <c r="A980" s="121">
        <v>44767</v>
      </c>
      <c r="B980" s="122">
        <v>24095.46</v>
      </c>
    </row>
    <row r="981" spans="1:2">
      <c r="A981" s="121">
        <v>44764</v>
      </c>
      <c r="B981" s="122">
        <v>24223.56</v>
      </c>
    </row>
    <row r="982" spans="1:2">
      <c r="A982" s="121">
        <v>44763</v>
      </c>
      <c r="B982" s="122">
        <v>24058.17</v>
      </c>
    </row>
    <row r="983" spans="1:2">
      <c r="A983" s="121">
        <v>44762</v>
      </c>
      <c r="B983" s="122">
        <v>23920.880000000001</v>
      </c>
    </row>
    <row r="984" spans="1:2">
      <c r="A984" s="121">
        <v>44761</v>
      </c>
      <c r="B984" s="122">
        <v>23659.85</v>
      </c>
    </row>
    <row r="985" spans="1:2">
      <c r="A985" s="121">
        <v>44760</v>
      </c>
      <c r="B985" s="122">
        <v>23566.52</v>
      </c>
    </row>
    <row r="986" spans="1:2">
      <c r="A986" s="121">
        <v>44757</v>
      </c>
      <c r="B986" s="122">
        <v>23234.52</v>
      </c>
    </row>
    <row r="987" spans="1:2">
      <c r="A987" s="121">
        <v>44756</v>
      </c>
      <c r="B987" s="122">
        <v>23074.52</v>
      </c>
    </row>
    <row r="988" spans="1:2">
      <c r="A988" s="121">
        <v>44755</v>
      </c>
      <c r="B988" s="122">
        <v>23107.47</v>
      </c>
    </row>
    <row r="989" spans="1:2">
      <c r="A989" s="121">
        <v>44754</v>
      </c>
      <c r="B989" s="122">
        <v>23239.9</v>
      </c>
    </row>
    <row r="990" spans="1:2">
      <c r="A990" s="121">
        <v>44753</v>
      </c>
      <c r="B990" s="122">
        <v>23468.14</v>
      </c>
    </row>
    <row r="991" spans="1:2">
      <c r="A991" s="121">
        <v>44750</v>
      </c>
      <c r="B991" s="122">
        <v>23473.61</v>
      </c>
    </row>
    <row r="992" spans="1:2">
      <c r="A992" s="121">
        <v>44749</v>
      </c>
      <c r="B992" s="122">
        <v>23345.61</v>
      </c>
    </row>
    <row r="993" spans="1:2">
      <c r="A993" s="121">
        <v>44748</v>
      </c>
      <c r="B993" s="122">
        <v>23137.7</v>
      </c>
    </row>
    <row r="994" spans="1:2">
      <c r="A994" s="121">
        <v>44747</v>
      </c>
      <c r="B994" s="122">
        <v>22878.720000000001</v>
      </c>
    </row>
    <row r="995" spans="1:2">
      <c r="A995" s="121">
        <v>44746</v>
      </c>
      <c r="B995" s="122">
        <v>22914.2</v>
      </c>
    </row>
    <row r="996" spans="1:2">
      <c r="A996" s="121">
        <v>44743</v>
      </c>
      <c r="B996" s="122">
        <v>22788.18</v>
      </c>
    </row>
    <row r="997" spans="1:2">
      <c r="A997" s="121">
        <v>44742</v>
      </c>
      <c r="B997" s="122">
        <v>22828.93</v>
      </c>
    </row>
    <row r="998" spans="1:2">
      <c r="A998" s="121">
        <v>44741</v>
      </c>
      <c r="B998" s="122">
        <v>22848.35</v>
      </c>
    </row>
    <row r="999" spans="1:2">
      <c r="A999" s="121">
        <v>44740</v>
      </c>
      <c r="B999" s="122">
        <v>22922.240000000002</v>
      </c>
    </row>
    <row r="1000" spans="1:2">
      <c r="A1000" s="121">
        <v>44739</v>
      </c>
      <c r="B1000" s="122">
        <v>22896.02</v>
      </c>
    </row>
    <row r="1001" spans="1:2">
      <c r="A1001" s="121">
        <v>44736</v>
      </c>
      <c r="B1001" s="122">
        <v>22703.95</v>
      </c>
    </row>
    <row r="1002" spans="1:2">
      <c r="A1002" s="121">
        <v>44735</v>
      </c>
      <c r="B1002" s="122">
        <v>22497.71</v>
      </c>
    </row>
    <row r="1003" spans="1:2">
      <c r="A1003" s="121">
        <v>44734</v>
      </c>
      <c r="B1003" s="122">
        <v>22290.46</v>
      </c>
    </row>
    <row r="1004" spans="1:2">
      <c r="A1004" s="121">
        <v>44733</v>
      </c>
      <c r="B1004" s="122">
        <v>22616.52</v>
      </c>
    </row>
    <row r="1005" spans="1:2">
      <c r="A1005" s="121">
        <v>44732</v>
      </c>
      <c r="B1005" s="122">
        <v>22199.11</v>
      </c>
    </row>
    <row r="1006" spans="1:2">
      <c r="A1006" s="121">
        <v>44729</v>
      </c>
      <c r="B1006" s="122">
        <v>22114.97</v>
      </c>
    </row>
    <row r="1007" spans="1:2">
      <c r="A1007" s="121">
        <v>44728</v>
      </c>
      <c r="B1007" s="122">
        <v>22211.98</v>
      </c>
    </row>
    <row r="1008" spans="1:2">
      <c r="A1008" s="121">
        <v>44727</v>
      </c>
      <c r="B1008" s="122">
        <v>22691.46</v>
      </c>
    </row>
    <row r="1009" spans="1:2">
      <c r="A1009" s="121">
        <v>44726</v>
      </c>
      <c r="B1009" s="122">
        <v>22729.97</v>
      </c>
    </row>
    <row r="1010" spans="1:2">
      <c r="A1010" s="121">
        <v>44725</v>
      </c>
      <c r="B1010" s="122">
        <v>22791.119999999999</v>
      </c>
    </row>
    <row r="1011" spans="1:2">
      <c r="A1011" s="121">
        <v>44722</v>
      </c>
      <c r="B1011" s="122">
        <v>23408.59</v>
      </c>
    </row>
    <row r="1012" spans="1:2">
      <c r="A1012" s="121">
        <v>44721</v>
      </c>
      <c r="B1012" s="122">
        <v>23807.84</v>
      </c>
    </row>
    <row r="1013" spans="1:2">
      <c r="A1013" s="121">
        <v>44720</v>
      </c>
      <c r="B1013" s="122">
        <v>23628.32</v>
      </c>
    </row>
    <row r="1014" spans="1:2">
      <c r="A1014" s="121">
        <v>44719</v>
      </c>
      <c r="B1014" s="122">
        <v>23715.1</v>
      </c>
    </row>
    <row r="1015" spans="1:2">
      <c r="A1015" s="121">
        <v>44718</v>
      </c>
      <c r="B1015" s="122">
        <v>23936.44</v>
      </c>
    </row>
    <row r="1016" spans="1:2">
      <c r="A1016" s="121">
        <v>44715</v>
      </c>
      <c r="B1016" s="122">
        <v>23957.71</v>
      </c>
    </row>
    <row r="1017" spans="1:2">
      <c r="A1017" s="121">
        <v>44714</v>
      </c>
      <c r="B1017" s="122">
        <v>24020.89</v>
      </c>
    </row>
    <row r="1018" spans="1:2">
      <c r="A1018" s="121">
        <v>44713</v>
      </c>
      <c r="B1018" s="122">
        <v>23868.85</v>
      </c>
    </row>
    <row r="1019" spans="1:2">
      <c r="A1019" s="121">
        <v>44712</v>
      </c>
      <c r="B1019" s="122">
        <v>23958.1</v>
      </c>
    </row>
    <row r="1020" spans="1:2">
      <c r="A1020" s="121">
        <v>44711</v>
      </c>
      <c r="B1020" s="122">
        <v>24031.25</v>
      </c>
    </row>
    <row r="1021" spans="1:2">
      <c r="A1021" s="121">
        <v>44708</v>
      </c>
      <c r="B1021" s="122">
        <v>23585.61</v>
      </c>
    </row>
    <row r="1022" spans="1:2">
      <c r="A1022" s="121">
        <v>44707</v>
      </c>
      <c r="B1022" s="122">
        <v>23322.66</v>
      </c>
    </row>
    <row r="1023" spans="1:2">
      <c r="A1023" s="121">
        <v>44706</v>
      </c>
      <c r="B1023" s="122">
        <v>23096.63</v>
      </c>
    </row>
    <row r="1024" spans="1:2">
      <c r="A1024" s="121">
        <v>44705</v>
      </c>
      <c r="B1024" s="122">
        <v>23223.25</v>
      </c>
    </row>
    <row r="1025" spans="1:2">
      <c r="A1025" s="121">
        <v>44704</v>
      </c>
      <c r="B1025" s="122">
        <v>23352.22</v>
      </c>
    </row>
    <row r="1026" spans="1:2">
      <c r="A1026" s="121">
        <v>44701</v>
      </c>
      <c r="B1026" s="122">
        <v>23426.36</v>
      </c>
    </row>
    <row r="1027" spans="1:2">
      <c r="A1027" s="121">
        <v>44700</v>
      </c>
      <c r="B1027" s="122">
        <v>22768.49</v>
      </c>
    </row>
    <row r="1028" spans="1:2">
      <c r="A1028" s="121">
        <v>44699</v>
      </c>
      <c r="B1028" s="122">
        <v>23389.07</v>
      </c>
    </row>
    <row r="1029" spans="1:2">
      <c r="A1029" s="121">
        <v>44698</v>
      </c>
      <c r="B1029" s="122">
        <v>23416.46</v>
      </c>
    </row>
    <row r="1030" spans="1:2">
      <c r="A1030" s="121">
        <v>44697</v>
      </c>
      <c r="B1030" s="122">
        <v>22815.88</v>
      </c>
    </row>
    <row r="1031" spans="1:2">
      <c r="A1031" s="121">
        <v>44694</v>
      </c>
      <c r="B1031" s="122">
        <v>22729.279999999999</v>
      </c>
    </row>
    <row r="1032" spans="1:2">
      <c r="A1032" s="121">
        <v>44693</v>
      </c>
      <c r="B1032" s="122">
        <v>22766.52</v>
      </c>
    </row>
    <row r="1033" spans="1:2">
      <c r="A1033" s="121">
        <v>44692</v>
      </c>
      <c r="B1033" s="122">
        <v>23260.85</v>
      </c>
    </row>
    <row r="1034" spans="1:2">
      <c r="A1034" s="121">
        <v>44691</v>
      </c>
      <c r="B1034" s="122">
        <v>23365.81</v>
      </c>
    </row>
    <row r="1035" spans="1:2">
      <c r="A1035" s="121">
        <v>44690</v>
      </c>
      <c r="B1035" s="122">
        <v>23454.71</v>
      </c>
    </row>
    <row r="1036" spans="1:2">
      <c r="A1036" s="121">
        <v>44687</v>
      </c>
      <c r="B1036" s="122">
        <v>23612.16</v>
      </c>
    </row>
    <row r="1037" spans="1:2">
      <c r="A1037" s="121">
        <v>44686</v>
      </c>
      <c r="B1037" s="122">
        <v>24002.58</v>
      </c>
    </row>
    <row r="1038" spans="1:2">
      <c r="A1038" s="121">
        <v>44685</v>
      </c>
      <c r="B1038" s="122">
        <v>23995.35</v>
      </c>
    </row>
    <row r="1039" spans="1:2">
      <c r="A1039" s="121">
        <v>44683</v>
      </c>
      <c r="B1039" s="122">
        <v>24558.61</v>
      </c>
    </row>
    <row r="1040" spans="1:2">
      <c r="A1040" s="121">
        <v>44680</v>
      </c>
      <c r="B1040" s="122">
        <v>24606.78</v>
      </c>
    </row>
    <row r="1041" spans="1:2">
      <c r="A1041" s="121">
        <v>44679</v>
      </c>
      <c r="B1041" s="122">
        <v>24811.78</v>
      </c>
    </row>
    <row r="1042" spans="1:2">
      <c r="A1042" s="121">
        <v>44678</v>
      </c>
      <c r="B1042" s="122">
        <v>24508.3</v>
      </c>
    </row>
    <row r="1043" spans="1:2">
      <c r="A1043" s="121">
        <v>44677</v>
      </c>
      <c r="B1043" s="122">
        <v>24741.88</v>
      </c>
    </row>
    <row r="1044" spans="1:2">
      <c r="A1044" s="121">
        <v>44676</v>
      </c>
      <c r="B1044" s="122">
        <v>24386.78</v>
      </c>
    </row>
    <row r="1045" spans="1:2">
      <c r="A1045" s="121">
        <v>44673</v>
      </c>
      <c r="B1045" s="122">
        <v>24700.36</v>
      </c>
    </row>
    <row r="1046" spans="1:2">
      <c r="A1046" s="121">
        <v>44672</v>
      </c>
      <c r="B1046" s="122">
        <v>25017.73</v>
      </c>
    </row>
    <row r="1047" spans="1:2">
      <c r="A1047" s="121">
        <v>44671</v>
      </c>
      <c r="B1047" s="122">
        <v>24648.400000000001</v>
      </c>
    </row>
    <row r="1048" spans="1:2">
      <c r="A1048" s="121">
        <v>44670</v>
      </c>
      <c r="B1048" s="122">
        <v>24392.54</v>
      </c>
    </row>
    <row r="1049" spans="1:2">
      <c r="A1049" s="121">
        <v>44669</v>
      </c>
      <c r="B1049" s="122">
        <v>24701.75</v>
      </c>
    </row>
    <row r="1050" spans="1:2">
      <c r="A1050" s="121">
        <v>44664</v>
      </c>
      <c r="B1050" s="122">
        <v>25136.13</v>
      </c>
    </row>
    <row r="1051" spans="1:2">
      <c r="A1051" s="121">
        <v>44663</v>
      </c>
      <c r="B1051" s="122">
        <v>25214.76</v>
      </c>
    </row>
    <row r="1052" spans="1:2">
      <c r="A1052" s="121">
        <v>44662</v>
      </c>
      <c r="B1052" s="122">
        <v>25422.81</v>
      </c>
    </row>
    <row r="1053" spans="1:2">
      <c r="A1053" s="121">
        <v>44659</v>
      </c>
      <c r="B1053" s="122">
        <v>25580.15</v>
      </c>
    </row>
    <row r="1054" spans="1:2">
      <c r="A1054" s="121">
        <v>44658</v>
      </c>
      <c r="B1054" s="122">
        <v>25371.88</v>
      </c>
    </row>
    <row r="1055" spans="1:2">
      <c r="A1055" s="121">
        <v>44657</v>
      </c>
      <c r="B1055" s="122">
        <v>25613.71</v>
      </c>
    </row>
    <row r="1056" spans="1:2">
      <c r="A1056" s="121">
        <v>44656</v>
      </c>
      <c r="B1056" s="122">
        <v>25829.11</v>
      </c>
    </row>
    <row r="1057" spans="1:2">
      <c r="A1057" s="121">
        <v>44655</v>
      </c>
      <c r="B1057" s="122">
        <v>25964.720000000001</v>
      </c>
    </row>
    <row r="1058" spans="1:2">
      <c r="A1058" s="121">
        <v>44652</v>
      </c>
      <c r="B1058" s="122">
        <v>25413.94</v>
      </c>
    </row>
    <row r="1059" spans="1:2">
      <c r="A1059" s="121">
        <v>44651</v>
      </c>
      <c r="B1059" s="122">
        <v>25118.14</v>
      </c>
    </row>
    <row r="1060" spans="1:2">
      <c r="A1060" s="121">
        <v>44650</v>
      </c>
      <c r="B1060" s="122">
        <v>25166.31</v>
      </c>
    </row>
    <row r="1061" spans="1:2">
      <c r="A1061" s="121">
        <v>44649</v>
      </c>
      <c r="B1061" s="122">
        <v>24917.57</v>
      </c>
    </row>
    <row r="1062" spans="1:2">
      <c r="A1062" s="121">
        <v>44648</v>
      </c>
      <c r="B1062" s="122">
        <v>24768.69</v>
      </c>
    </row>
    <row r="1063" spans="1:2">
      <c r="A1063" s="121">
        <v>44645</v>
      </c>
      <c r="B1063" s="122">
        <v>24669.45</v>
      </c>
    </row>
    <row r="1064" spans="1:2">
      <c r="A1064" s="121">
        <v>44644</v>
      </c>
      <c r="B1064" s="122">
        <v>24769.75</v>
      </c>
    </row>
    <row r="1065" spans="1:2">
      <c r="A1065" s="121">
        <v>44643</v>
      </c>
      <c r="B1065" s="122">
        <v>24802.74</v>
      </c>
    </row>
    <row r="1066" spans="1:2">
      <c r="A1066" s="121">
        <v>44642</v>
      </c>
      <c r="B1066" s="122">
        <v>24903.14</v>
      </c>
    </row>
    <row r="1067" spans="1:2">
      <c r="A1067" s="121">
        <v>44641</v>
      </c>
      <c r="B1067" s="122">
        <v>24618.52</v>
      </c>
    </row>
    <row r="1068" spans="1:2">
      <c r="A1068" s="121">
        <v>44637</v>
      </c>
      <c r="B1068" s="122">
        <v>24862.27</v>
      </c>
    </row>
    <row r="1069" spans="1:2">
      <c r="A1069" s="121">
        <v>44636</v>
      </c>
      <c r="B1069" s="122">
        <v>24414</v>
      </c>
    </row>
    <row r="1070" spans="1:2">
      <c r="A1070" s="121">
        <v>44635</v>
      </c>
      <c r="B1070" s="122">
        <v>23964.720000000001</v>
      </c>
    </row>
    <row r="1071" spans="1:2">
      <c r="A1071" s="121">
        <v>44634</v>
      </c>
      <c r="B1071" s="122">
        <v>24264.29</v>
      </c>
    </row>
    <row r="1072" spans="1:2">
      <c r="A1072" s="121">
        <v>44631</v>
      </c>
      <c r="B1072" s="122">
        <v>23917.96</v>
      </c>
    </row>
    <row r="1073" spans="1:2">
      <c r="A1073" s="121">
        <v>44630</v>
      </c>
      <c r="B1073" s="122">
        <v>23866.77</v>
      </c>
    </row>
    <row r="1074" spans="1:2">
      <c r="A1074" s="121">
        <v>44629</v>
      </c>
      <c r="B1074" s="122">
        <v>23507.87</v>
      </c>
    </row>
    <row r="1075" spans="1:2">
      <c r="A1075" s="121">
        <v>44628</v>
      </c>
      <c r="B1075" s="122">
        <v>23030.560000000001</v>
      </c>
    </row>
    <row r="1076" spans="1:2">
      <c r="A1076" s="121">
        <v>44627</v>
      </c>
      <c r="B1076" s="122">
        <v>22814.41</v>
      </c>
    </row>
    <row r="1077" spans="1:2">
      <c r="A1077" s="121">
        <v>44624</v>
      </c>
      <c r="B1077" s="122">
        <v>23364.07</v>
      </c>
    </row>
    <row r="1078" spans="1:2">
      <c r="A1078" s="121">
        <v>44623</v>
      </c>
      <c r="B1078" s="122">
        <v>23727.54</v>
      </c>
    </row>
    <row r="1079" spans="1:2">
      <c r="A1079" s="121">
        <v>44622</v>
      </c>
      <c r="B1079" s="122">
        <v>23882.720000000001</v>
      </c>
    </row>
    <row r="1080" spans="1:2">
      <c r="A1080" s="121">
        <v>44620</v>
      </c>
      <c r="B1080" s="122">
        <v>24153.01</v>
      </c>
    </row>
    <row r="1081" spans="1:2">
      <c r="A1081" s="121">
        <v>44617</v>
      </c>
      <c r="B1081" s="122">
        <v>23958.1</v>
      </c>
    </row>
    <row r="1082" spans="1:2">
      <c r="A1082" s="121">
        <v>44616</v>
      </c>
      <c r="B1082" s="122">
        <v>23367.85</v>
      </c>
    </row>
    <row r="1083" spans="1:2">
      <c r="A1083" s="121">
        <v>44615</v>
      </c>
      <c r="B1083" s="122">
        <v>24540.41</v>
      </c>
    </row>
    <row r="1084" spans="1:2">
      <c r="A1084" s="121">
        <v>44614</v>
      </c>
      <c r="B1084" s="122">
        <v>24582.05</v>
      </c>
    </row>
    <row r="1085" spans="1:2">
      <c r="A1085" s="121">
        <v>44613</v>
      </c>
      <c r="B1085" s="122">
        <v>24746.59</v>
      </c>
    </row>
    <row r="1086" spans="1:2">
      <c r="A1086" s="121">
        <v>44610</v>
      </c>
      <c r="B1086" s="122">
        <v>24838.68</v>
      </c>
    </row>
    <row r="1087" spans="1:2">
      <c r="A1087" s="121">
        <v>44609</v>
      </c>
      <c r="B1087" s="122">
        <v>24879.32</v>
      </c>
    </row>
    <row r="1088" spans="1:2">
      <c r="A1088" s="121">
        <v>44608</v>
      </c>
      <c r="B1088" s="122">
        <v>24904.67</v>
      </c>
    </row>
    <row r="1089" spans="1:2">
      <c r="A1089" s="121">
        <v>44607</v>
      </c>
      <c r="B1089" s="122">
        <v>24941.93</v>
      </c>
    </row>
    <row r="1090" spans="1:2">
      <c r="A1090" s="121">
        <v>44606</v>
      </c>
      <c r="B1090" s="122">
        <v>24209.38</v>
      </c>
    </row>
    <row r="1091" spans="1:2">
      <c r="A1091" s="121">
        <v>44603</v>
      </c>
      <c r="B1091" s="122">
        <v>24958.45</v>
      </c>
    </row>
    <row r="1092" spans="1:2">
      <c r="A1092" s="121">
        <v>44602</v>
      </c>
      <c r="B1092" s="122">
        <v>25290.42</v>
      </c>
    </row>
    <row r="1093" spans="1:2">
      <c r="A1093" s="121">
        <v>44601</v>
      </c>
      <c r="B1093" s="122">
        <v>25084.6</v>
      </c>
    </row>
    <row r="1094" spans="1:2">
      <c r="A1094" s="121">
        <v>44600</v>
      </c>
      <c r="B1094" s="122">
        <v>24795.759999999998</v>
      </c>
    </row>
    <row r="1095" spans="1:2">
      <c r="A1095" s="121">
        <v>44599</v>
      </c>
      <c r="B1095" s="122">
        <v>24719.45</v>
      </c>
    </row>
    <row r="1096" spans="1:2">
      <c r="A1096" s="121">
        <v>44596</v>
      </c>
      <c r="B1096" s="122">
        <v>25154.14</v>
      </c>
    </row>
    <row r="1097" spans="1:2">
      <c r="A1097" s="121">
        <v>44595</v>
      </c>
      <c r="B1097" s="122">
        <v>25217.200000000001</v>
      </c>
    </row>
    <row r="1098" spans="1:2">
      <c r="A1098" s="121">
        <v>44594</v>
      </c>
      <c r="B1098" s="122">
        <v>25526.55</v>
      </c>
    </row>
    <row r="1099" spans="1:2">
      <c r="A1099" s="121">
        <v>44593</v>
      </c>
      <c r="B1099" s="122">
        <v>25234.89</v>
      </c>
    </row>
    <row r="1100" spans="1:2">
      <c r="A1100" s="121">
        <v>44592</v>
      </c>
      <c r="B1100" s="122">
        <v>24894.62</v>
      </c>
    </row>
    <row r="1101" spans="1:2">
      <c r="A1101" s="121">
        <v>44589</v>
      </c>
      <c r="B1101" s="122">
        <v>24553.040000000001</v>
      </c>
    </row>
    <row r="1102" spans="1:2">
      <c r="A1102" s="121">
        <v>44588</v>
      </c>
      <c r="B1102" s="122">
        <v>24564.81</v>
      </c>
    </row>
    <row r="1103" spans="1:2">
      <c r="A1103" s="121">
        <v>44586</v>
      </c>
      <c r="B1103" s="122">
        <v>24805.75</v>
      </c>
    </row>
    <row r="1104" spans="1:2">
      <c r="A1104" s="121">
        <v>44585</v>
      </c>
      <c r="B1104" s="122">
        <v>24620.720000000001</v>
      </c>
    </row>
    <row r="1105" spans="1:2">
      <c r="A1105" s="121">
        <v>44582</v>
      </c>
      <c r="B1105" s="122">
        <v>25292.720000000001</v>
      </c>
    </row>
    <row r="1106" spans="1:2">
      <c r="A1106" s="121">
        <v>44581</v>
      </c>
      <c r="B1106" s="122">
        <v>25492.99</v>
      </c>
    </row>
    <row r="1107" spans="1:2">
      <c r="A1107" s="121">
        <v>44580</v>
      </c>
      <c r="B1107" s="122">
        <v>25749.81</v>
      </c>
    </row>
    <row r="1108" spans="1:2">
      <c r="A1108" s="121">
        <v>44579</v>
      </c>
      <c r="B1108" s="122">
        <v>25998.14</v>
      </c>
    </row>
    <row r="1109" spans="1:2">
      <c r="A1109" s="121">
        <v>44578</v>
      </c>
      <c r="B1109" s="122">
        <v>26278.07</v>
      </c>
    </row>
    <row r="1110" spans="1:2">
      <c r="A1110" s="121">
        <v>44575</v>
      </c>
      <c r="B1110" s="122">
        <v>26202.97</v>
      </c>
    </row>
    <row r="1111" spans="1:2">
      <c r="A1111" s="121">
        <v>44574</v>
      </c>
      <c r="B1111" s="122">
        <v>26205.87</v>
      </c>
    </row>
    <row r="1112" spans="1:2">
      <c r="A1112" s="121">
        <v>44573</v>
      </c>
      <c r="B1112" s="122">
        <v>26140.68</v>
      </c>
    </row>
    <row r="1113" spans="1:2">
      <c r="A1113" s="121">
        <v>44572</v>
      </c>
      <c r="B1113" s="122">
        <v>25915.89</v>
      </c>
    </row>
    <row r="1114" spans="1:2">
      <c r="A1114" s="121">
        <v>44571</v>
      </c>
      <c r="B1114" s="122">
        <v>25840.62</v>
      </c>
    </row>
    <row r="1115" spans="1:2">
      <c r="A1115" s="121">
        <v>44568</v>
      </c>
      <c r="B1115" s="122">
        <v>25567.06</v>
      </c>
    </row>
    <row r="1116" spans="1:2">
      <c r="A1116" s="121">
        <v>44567</v>
      </c>
      <c r="B1116" s="122">
        <v>25471.18</v>
      </c>
    </row>
    <row r="1117" spans="1:2">
      <c r="A1117" s="121">
        <v>44566</v>
      </c>
      <c r="B1117" s="122">
        <v>25728.58</v>
      </c>
    </row>
    <row r="1118" spans="1:2">
      <c r="A1118" s="121">
        <v>44565</v>
      </c>
      <c r="B1118" s="122">
        <v>25556.34</v>
      </c>
    </row>
    <row r="1119" spans="1:2">
      <c r="A1119" s="121">
        <v>44564</v>
      </c>
      <c r="B1119" s="122">
        <v>25298.63</v>
      </c>
    </row>
    <row r="1120" spans="1:2">
      <c r="A1120" s="121">
        <v>44561</v>
      </c>
      <c r="B1120" s="122">
        <v>24908.71</v>
      </c>
    </row>
    <row r="1121" spans="1:2">
      <c r="A1121" s="121">
        <v>44560</v>
      </c>
      <c r="B1121" s="122">
        <v>24693.25</v>
      </c>
    </row>
    <row r="1122" spans="1:2">
      <c r="A1122" s="121">
        <v>44559</v>
      </c>
      <c r="B1122" s="122">
        <v>24707.1</v>
      </c>
    </row>
    <row r="1123" spans="1:2">
      <c r="A1123" s="121">
        <v>44558</v>
      </c>
      <c r="B1123" s="122">
        <v>24735.32</v>
      </c>
    </row>
    <row r="1124" spans="1:2">
      <c r="A1124" s="121">
        <v>44557</v>
      </c>
      <c r="B1124" s="122">
        <v>24524.36</v>
      </c>
    </row>
    <row r="1125" spans="1:2">
      <c r="A1125" s="121">
        <v>44554</v>
      </c>
      <c r="B1125" s="122">
        <v>24405.96</v>
      </c>
    </row>
    <row r="1126" spans="1:2">
      <c r="A1126" s="121">
        <v>44553</v>
      </c>
      <c r="B1126" s="122">
        <v>24504.75</v>
      </c>
    </row>
    <row r="1127" spans="1:2">
      <c r="A1127" s="121">
        <v>44552</v>
      </c>
      <c r="B1127" s="122">
        <v>24336.62</v>
      </c>
    </row>
    <row r="1128" spans="1:2">
      <c r="A1128" s="121">
        <v>44551</v>
      </c>
      <c r="B1128" s="122">
        <v>24063.78</v>
      </c>
    </row>
    <row r="1129" spans="1:2">
      <c r="A1129" s="121">
        <v>44550</v>
      </c>
      <c r="B1129" s="122">
        <v>23839.01</v>
      </c>
    </row>
    <row r="1130" spans="1:2">
      <c r="A1130" s="121">
        <v>44547</v>
      </c>
      <c r="B1130" s="122">
        <v>24371.37</v>
      </c>
    </row>
    <row r="1131" spans="1:2">
      <c r="A1131" s="121">
        <v>44546</v>
      </c>
      <c r="B1131" s="122">
        <v>24749.01</v>
      </c>
    </row>
    <row r="1132" spans="1:2">
      <c r="A1132" s="121">
        <v>44545</v>
      </c>
      <c r="B1132" s="122">
        <v>24710.3</v>
      </c>
    </row>
    <row r="1133" spans="1:2">
      <c r="A1133" s="121">
        <v>44544</v>
      </c>
      <c r="B1133" s="122">
        <v>24858.79</v>
      </c>
    </row>
    <row r="1134" spans="1:2">
      <c r="A1134" s="121">
        <v>44543</v>
      </c>
      <c r="B1134" s="122">
        <v>24921.02</v>
      </c>
    </row>
    <row r="1135" spans="1:2">
      <c r="A1135" s="121">
        <v>44540</v>
      </c>
      <c r="B1135" s="122">
        <v>25126.240000000002</v>
      </c>
    </row>
    <row r="1136" spans="1:2">
      <c r="A1136" s="121">
        <v>44539</v>
      </c>
      <c r="B1136" s="122">
        <v>25134.23</v>
      </c>
    </row>
    <row r="1137" spans="1:2">
      <c r="A1137" s="121">
        <v>44538</v>
      </c>
      <c r="B1137" s="122">
        <v>25066.62</v>
      </c>
    </row>
    <row r="1138" spans="1:2">
      <c r="A1138" s="121">
        <v>44537</v>
      </c>
      <c r="B1138" s="122">
        <v>24646.18</v>
      </c>
    </row>
    <row r="1139" spans="1:2">
      <c r="A1139" s="121">
        <v>44536</v>
      </c>
      <c r="B1139" s="122">
        <v>24266.71</v>
      </c>
    </row>
    <row r="1140" spans="1:2">
      <c r="A1140" s="121">
        <v>44533</v>
      </c>
      <c r="B1140" s="122">
        <v>24674.83</v>
      </c>
    </row>
    <row r="1141" spans="1:2">
      <c r="A1141" s="121">
        <v>44532</v>
      </c>
      <c r="B1141" s="122">
        <v>24968.91</v>
      </c>
    </row>
    <row r="1142" spans="1:2">
      <c r="A1142" s="121">
        <v>44531</v>
      </c>
      <c r="B1142" s="122">
        <v>24632.06</v>
      </c>
    </row>
    <row r="1143" spans="1:2">
      <c r="A1143" s="121">
        <v>44530</v>
      </c>
      <c r="B1143" s="122">
        <v>24368.53</v>
      </c>
    </row>
    <row r="1144" spans="1:2">
      <c r="A1144" s="121">
        <v>44529</v>
      </c>
      <c r="B1144" s="122">
        <v>24469.99</v>
      </c>
    </row>
    <row r="1145" spans="1:2">
      <c r="A1145" s="121">
        <v>44526</v>
      </c>
      <c r="B1145" s="122">
        <v>24430.53</v>
      </c>
    </row>
    <row r="1146" spans="1:2">
      <c r="A1146" s="121">
        <v>44525</v>
      </c>
      <c r="B1146" s="122">
        <v>25162.07</v>
      </c>
    </row>
    <row r="1147" spans="1:2">
      <c r="A1147" s="121">
        <v>44524</v>
      </c>
      <c r="B1147" s="122">
        <v>24988.18</v>
      </c>
    </row>
    <row r="1148" spans="1:2">
      <c r="A1148" s="121">
        <v>44523</v>
      </c>
      <c r="B1148" s="122">
        <v>25114.82</v>
      </c>
    </row>
    <row r="1149" spans="1:2">
      <c r="A1149" s="121">
        <v>44522</v>
      </c>
      <c r="B1149" s="122">
        <v>24990.27</v>
      </c>
    </row>
    <row r="1150" spans="1:2">
      <c r="A1150" s="121">
        <v>44518</v>
      </c>
      <c r="B1150" s="122">
        <v>25483.23</v>
      </c>
    </row>
    <row r="1151" spans="1:2">
      <c r="A1151" s="121">
        <v>44517</v>
      </c>
      <c r="B1151" s="122">
        <v>25675.200000000001</v>
      </c>
    </row>
    <row r="1152" spans="1:2">
      <c r="A1152" s="121">
        <v>44516</v>
      </c>
      <c r="B1152" s="122">
        <v>25819.49</v>
      </c>
    </row>
    <row r="1153" spans="1:2">
      <c r="A1153" s="121">
        <v>44515</v>
      </c>
      <c r="B1153" s="122">
        <v>25977.61</v>
      </c>
    </row>
    <row r="1154" spans="1:2">
      <c r="A1154" s="121">
        <v>44512</v>
      </c>
      <c r="B1154" s="122">
        <v>25968.02</v>
      </c>
    </row>
    <row r="1155" spans="1:2">
      <c r="A1155" s="121">
        <v>44511</v>
      </c>
      <c r="B1155" s="122">
        <v>25639.32</v>
      </c>
    </row>
    <row r="1156" spans="1:2">
      <c r="A1156" s="121">
        <v>44510</v>
      </c>
      <c r="B1156" s="122">
        <v>25839.47</v>
      </c>
    </row>
    <row r="1157" spans="1:2">
      <c r="A1157" s="121">
        <v>44509</v>
      </c>
      <c r="B1157" s="122">
        <v>25878.28</v>
      </c>
    </row>
    <row r="1158" spans="1:2">
      <c r="A1158" s="121">
        <v>44508</v>
      </c>
      <c r="B1158" s="122">
        <v>25913.09</v>
      </c>
    </row>
    <row r="1159" spans="1:2">
      <c r="A1159" s="121">
        <v>44504</v>
      </c>
      <c r="B1159" s="122">
        <v>25695.5</v>
      </c>
    </row>
    <row r="1160" spans="1:2">
      <c r="A1160" s="121">
        <v>44503</v>
      </c>
      <c r="B1160" s="122">
        <v>25569.86</v>
      </c>
    </row>
    <row r="1161" spans="1:2">
      <c r="A1161" s="121">
        <v>44502</v>
      </c>
      <c r="B1161" s="122">
        <v>25655.51</v>
      </c>
    </row>
    <row r="1162" spans="1:2">
      <c r="A1162" s="121">
        <v>44501</v>
      </c>
      <c r="B1162" s="122">
        <v>25710.799999999999</v>
      </c>
    </row>
    <row r="1163" spans="1:2">
      <c r="A1163" s="121">
        <v>44498</v>
      </c>
      <c r="B1163" s="122">
        <v>25340.83</v>
      </c>
    </row>
    <row r="1164" spans="1:2">
      <c r="A1164" s="121">
        <v>44497</v>
      </c>
      <c r="B1164" s="122">
        <v>25606.99</v>
      </c>
    </row>
    <row r="1165" spans="1:2">
      <c r="A1165" s="121">
        <v>44496</v>
      </c>
      <c r="B1165" s="122">
        <v>26113.62</v>
      </c>
    </row>
    <row r="1166" spans="1:2">
      <c r="A1166" s="121">
        <v>44495</v>
      </c>
      <c r="B1166" s="122">
        <v>26196.05</v>
      </c>
    </row>
    <row r="1167" spans="1:2">
      <c r="A1167" s="121">
        <v>44494</v>
      </c>
      <c r="B1167" s="122">
        <v>25967.040000000001</v>
      </c>
    </row>
    <row r="1168" spans="1:2">
      <c r="A1168" s="121">
        <v>44491</v>
      </c>
      <c r="B1168" s="122">
        <v>25952.01</v>
      </c>
    </row>
    <row r="1169" spans="1:2">
      <c r="A1169" s="121">
        <v>44490</v>
      </c>
      <c r="B1169" s="122">
        <v>26042.59</v>
      </c>
    </row>
    <row r="1170" spans="1:2">
      <c r="A1170" s="121">
        <v>44489</v>
      </c>
      <c r="B1170" s="122">
        <v>26165.78</v>
      </c>
    </row>
    <row r="1171" spans="1:2">
      <c r="A1171" s="121">
        <v>44488</v>
      </c>
      <c r="B1171" s="122">
        <v>26383.71</v>
      </c>
    </row>
    <row r="1172" spans="1:2">
      <c r="A1172" s="121">
        <v>44487</v>
      </c>
      <c r="B1172" s="122">
        <v>26467.21</v>
      </c>
    </row>
    <row r="1173" spans="1:2">
      <c r="A1173" s="121">
        <v>44483</v>
      </c>
      <c r="B1173" s="122">
        <v>26268.83</v>
      </c>
    </row>
    <row r="1174" spans="1:2">
      <c r="A1174" s="121">
        <v>44482</v>
      </c>
      <c r="B1174" s="122">
        <v>26013.19</v>
      </c>
    </row>
    <row r="1175" spans="1:2">
      <c r="A1175" s="121">
        <v>44481</v>
      </c>
      <c r="B1175" s="122">
        <v>25770.01</v>
      </c>
    </row>
    <row r="1176" spans="1:2">
      <c r="A1176" s="121">
        <v>44480</v>
      </c>
      <c r="B1176" s="122">
        <v>25704.1</v>
      </c>
    </row>
    <row r="1177" spans="1:2">
      <c r="A1177" s="121">
        <v>44477</v>
      </c>
      <c r="B1177" s="122">
        <v>25631.38</v>
      </c>
    </row>
    <row r="1178" spans="1:2">
      <c r="A1178" s="121">
        <v>44476</v>
      </c>
      <c r="B1178" s="122">
        <v>25481.26</v>
      </c>
    </row>
    <row r="1179" spans="1:2">
      <c r="A1179" s="121">
        <v>44475</v>
      </c>
      <c r="B1179" s="122">
        <v>25274.48</v>
      </c>
    </row>
    <row r="1180" spans="1:2">
      <c r="A1180" s="121">
        <v>44474</v>
      </c>
      <c r="B1180" s="122">
        <v>25526.98</v>
      </c>
    </row>
    <row r="1181" spans="1:2">
      <c r="A1181" s="121">
        <v>44473</v>
      </c>
      <c r="B1181" s="122">
        <v>25339.32</v>
      </c>
    </row>
    <row r="1182" spans="1:2">
      <c r="A1182" s="121">
        <v>44470</v>
      </c>
      <c r="B1182" s="122">
        <v>25111.25</v>
      </c>
    </row>
    <row r="1183" spans="1:2">
      <c r="A1183" s="121">
        <v>44469</v>
      </c>
      <c r="B1183" s="122">
        <v>25234.57</v>
      </c>
    </row>
    <row r="1184" spans="1:2">
      <c r="A1184" s="121">
        <v>44468</v>
      </c>
      <c r="B1184" s="122">
        <v>25367.99</v>
      </c>
    </row>
    <row r="1185" spans="1:2">
      <c r="A1185" s="121">
        <v>44467</v>
      </c>
      <c r="B1185" s="122">
        <v>25421.46</v>
      </c>
    </row>
    <row r="1186" spans="1:2">
      <c r="A1186" s="121">
        <v>44466</v>
      </c>
      <c r="B1186" s="122">
        <v>25573.99</v>
      </c>
    </row>
    <row r="1187" spans="1:2">
      <c r="A1187" s="121">
        <v>44463</v>
      </c>
      <c r="B1187" s="122">
        <v>25571.24</v>
      </c>
    </row>
    <row r="1188" spans="1:2">
      <c r="A1188" s="121">
        <v>44462</v>
      </c>
      <c r="B1188" s="122">
        <v>25527.919999999998</v>
      </c>
    </row>
    <row r="1189" spans="1:2">
      <c r="A1189" s="121">
        <v>44461</v>
      </c>
      <c r="B1189" s="122">
        <v>25132.15</v>
      </c>
    </row>
    <row r="1190" spans="1:2">
      <c r="A1190" s="121">
        <v>44460</v>
      </c>
      <c r="B1190" s="122">
        <v>25154.16</v>
      </c>
    </row>
    <row r="1191" spans="1:2">
      <c r="A1191" s="121">
        <v>44459</v>
      </c>
      <c r="B1191" s="122">
        <v>24917.72</v>
      </c>
    </row>
    <row r="1192" spans="1:2">
      <c r="A1192" s="121">
        <v>44456</v>
      </c>
      <c r="B1192" s="122">
        <v>25187.34</v>
      </c>
    </row>
    <row r="1193" spans="1:2">
      <c r="A1193" s="121">
        <v>44455</v>
      </c>
      <c r="B1193" s="122">
        <v>25250.87</v>
      </c>
    </row>
    <row r="1194" spans="1:2">
      <c r="A1194" s="121">
        <v>44454</v>
      </c>
      <c r="B1194" s="122">
        <v>25093.22</v>
      </c>
    </row>
    <row r="1195" spans="1:2">
      <c r="A1195" s="121">
        <v>44453</v>
      </c>
      <c r="B1195" s="122">
        <v>24893.51</v>
      </c>
    </row>
    <row r="1196" spans="1:2">
      <c r="A1196" s="121">
        <v>44452</v>
      </c>
      <c r="B1196" s="122">
        <v>24858.12</v>
      </c>
    </row>
    <row r="1197" spans="1:2">
      <c r="A1197" s="121">
        <v>44448</v>
      </c>
      <c r="B1197" s="122">
        <v>24878.09</v>
      </c>
    </row>
    <row r="1198" spans="1:2">
      <c r="A1198" s="121">
        <v>44447</v>
      </c>
      <c r="B1198" s="122">
        <v>24855.5</v>
      </c>
    </row>
    <row r="1199" spans="1:2">
      <c r="A1199" s="121">
        <v>44446</v>
      </c>
      <c r="B1199" s="122">
        <v>24857.27</v>
      </c>
    </row>
    <row r="1200" spans="1:2">
      <c r="A1200" s="121">
        <v>44445</v>
      </c>
      <c r="B1200" s="122">
        <v>24879.79</v>
      </c>
    </row>
    <row r="1201" spans="1:2">
      <c r="A1201" s="121">
        <v>44442</v>
      </c>
      <c r="B1201" s="122">
        <v>24802.17</v>
      </c>
    </row>
    <row r="1202" spans="1:2">
      <c r="A1202" s="121">
        <v>44441</v>
      </c>
      <c r="B1202" s="122">
        <v>24674.11</v>
      </c>
    </row>
    <row r="1203" spans="1:2">
      <c r="A1203" s="121">
        <v>44440</v>
      </c>
      <c r="B1203" s="122">
        <v>24445.62</v>
      </c>
    </row>
    <row r="1204" spans="1:2">
      <c r="A1204" s="121">
        <v>44439</v>
      </c>
      <c r="B1204" s="122">
        <v>24525.71</v>
      </c>
    </row>
    <row r="1205" spans="1:2">
      <c r="A1205" s="121">
        <v>44438</v>
      </c>
      <c r="B1205" s="122">
        <v>24237.8</v>
      </c>
    </row>
    <row r="1206" spans="1:2">
      <c r="A1206" s="121">
        <v>44435</v>
      </c>
      <c r="B1206" s="122">
        <v>23914.48</v>
      </c>
    </row>
    <row r="1207" spans="1:2">
      <c r="A1207" s="121">
        <v>44434</v>
      </c>
      <c r="B1207" s="122">
        <v>23816.68</v>
      </c>
    </row>
    <row r="1208" spans="1:2">
      <c r="A1208" s="121">
        <v>44433</v>
      </c>
      <c r="B1208" s="122">
        <v>23813.43</v>
      </c>
    </row>
    <row r="1209" spans="1:2">
      <c r="A1209" s="121">
        <v>44432</v>
      </c>
      <c r="B1209" s="122">
        <v>23799.1</v>
      </c>
    </row>
    <row r="1210" spans="1:2">
      <c r="A1210" s="121">
        <v>44431</v>
      </c>
      <c r="B1210" s="122">
        <v>23615.61</v>
      </c>
    </row>
    <row r="1211" spans="1:2">
      <c r="A1211" s="121">
        <v>44428</v>
      </c>
      <c r="B1211" s="122">
        <v>23549.09</v>
      </c>
    </row>
    <row r="1212" spans="1:2">
      <c r="A1212" s="121">
        <v>44426</v>
      </c>
      <c r="B1212" s="122">
        <v>23718.57</v>
      </c>
    </row>
    <row r="1213" spans="1:2">
      <c r="A1213" s="121">
        <v>44425</v>
      </c>
      <c r="B1213" s="122">
        <v>23784.05</v>
      </c>
    </row>
    <row r="1214" spans="1:2">
      <c r="A1214" s="121">
        <v>44424</v>
      </c>
      <c r="B1214" s="122">
        <v>23708.38</v>
      </c>
    </row>
    <row r="1215" spans="1:2">
      <c r="A1215" s="121">
        <v>44421</v>
      </c>
      <c r="B1215" s="122">
        <v>23659.78</v>
      </c>
    </row>
    <row r="1216" spans="1:2">
      <c r="A1216" s="121">
        <v>44420</v>
      </c>
      <c r="B1216" s="122">
        <v>23424.04</v>
      </c>
    </row>
    <row r="1217" spans="1:2">
      <c r="A1217" s="121">
        <v>44419</v>
      </c>
      <c r="B1217" s="122">
        <v>23303.89</v>
      </c>
    </row>
    <row r="1218" spans="1:2">
      <c r="A1218" s="121">
        <v>44418</v>
      </c>
      <c r="B1218" s="122">
        <v>23300.36</v>
      </c>
    </row>
    <row r="1219" spans="1:2">
      <c r="A1219" s="121">
        <v>44417</v>
      </c>
      <c r="B1219" s="122">
        <v>23269.119999999999</v>
      </c>
    </row>
    <row r="1220" spans="1:2">
      <c r="A1220" s="121">
        <v>44414</v>
      </c>
      <c r="B1220" s="122">
        <v>23238.83</v>
      </c>
    </row>
    <row r="1221" spans="1:2">
      <c r="A1221" s="121">
        <v>44413</v>
      </c>
      <c r="B1221" s="122">
        <v>23319.53</v>
      </c>
    </row>
    <row r="1222" spans="1:2">
      <c r="A1222" s="121">
        <v>44412</v>
      </c>
      <c r="B1222" s="122">
        <v>23265.07</v>
      </c>
    </row>
    <row r="1223" spans="1:2">
      <c r="A1223" s="121">
        <v>44411</v>
      </c>
      <c r="B1223" s="122">
        <v>23081.86</v>
      </c>
    </row>
    <row r="1224" spans="1:2">
      <c r="A1224" s="121">
        <v>44410</v>
      </c>
      <c r="B1224" s="122">
        <v>22730.42</v>
      </c>
    </row>
    <row r="1225" spans="1:2">
      <c r="A1225" s="121">
        <v>44407</v>
      </c>
      <c r="B1225" s="122">
        <v>22554.26</v>
      </c>
    </row>
    <row r="1226" spans="1:2">
      <c r="A1226" s="121">
        <v>44406</v>
      </c>
      <c r="B1226" s="122">
        <v>22576.34</v>
      </c>
    </row>
    <row r="1227" spans="1:2">
      <c r="A1227" s="121">
        <v>44405</v>
      </c>
      <c r="B1227" s="122">
        <v>22472.95</v>
      </c>
    </row>
    <row r="1228" spans="1:2">
      <c r="A1228" s="121">
        <v>44404</v>
      </c>
      <c r="B1228" s="122">
        <v>22518.799999999999</v>
      </c>
    </row>
    <row r="1229" spans="1:2">
      <c r="A1229" s="121">
        <v>44403</v>
      </c>
      <c r="B1229" s="122">
        <v>22628.19</v>
      </c>
    </row>
    <row r="1230" spans="1:2">
      <c r="A1230" s="121">
        <v>44400</v>
      </c>
      <c r="B1230" s="122">
        <v>22673.35</v>
      </c>
    </row>
    <row r="1231" spans="1:2">
      <c r="A1231" s="121">
        <v>44399</v>
      </c>
      <c r="B1231" s="122">
        <v>22621.45</v>
      </c>
    </row>
    <row r="1232" spans="1:2">
      <c r="A1232" s="121">
        <v>44397</v>
      </c>
      <c r="B1232" s="122">
        <v>22344.81</v>
      </c>
    </row>
    <row r="1233" spans="1:2">
      <c r="A1233" s="121">
        <v>44396</v>
      </c>
      <c r="B1233" s="122">
        <v>22516.71</v>
      </c>
    </row>
    <row r="1234" spans="1:2">
      <c r="A1234" s="121">
        <v>44393</v>
      </c>
      <c r="B1234" s="122">
        <v>22761.200000000001</v>
      </c>
    </row>
    <row r="1235" spans="1:2">
      <c r="A1235" s="121">
        <v>44392</v>
      </c>
      <c r="B1235" s="122">
        <v>22762.34</v>
      </c>
    </row>
    <row r="1236" spans="1:2">
      <c r="A1236" s="121">
        <v>44391</v>
      </c>
      <c r="B1236" s="122">
        <v>22656.78</v>
      </c>
    </row>
    <row r="1237" spans="1:2">
      <c r="A1237" s="121">
        <v>44390</v>
      </c>
      <c r="B1237" s="122">
        <v>22595.49</v>
      </c>
    </row>
    <row r="1238" spans="1:2">
      <c r="A1238" s="121">
        <v>44389</v>
      </c>
      <c r="B1238" s="122">
        <v>22424.39</v>
      </c>
    </row>
    <row r="1239" spans="1:2">
      <c r="A1239" s="121">
        <v>44386</v>
      </c>
      <c r="B1239" s="122">
        <v>22420.36</v>
      </c>
    </row>
    <row r="1240" spans="1:2">
      <c r="A1240" s="121">
        <v>44385</v>
      </c>
      <c r="B1240" s="122">
        <v>22473.81</v>
      </c>
    </row>
    <row r="1241" spans="1:2">
      <c r="A1241" s="121">
        <v>44384</v>
      </c>
      <c r="B1241" s="122">
        <v>22683.66</v>
      </c>
    </row>
    <row r="1242" spans="1:2">
      <c r="A1242" s="121">
        <v>44383</v>
      </c>
      <c r="B1242" s="122">
        <v>22595.93</v>
      </c>
    </row>
    <row r="1243" spans="1:2">
      <c r="A1243" s="121">
        <v>44382</v>
      </c>
      <c r="B1243" s="122">
        <v>22618.97</v>
      </c>
    </row>
    <row r="1244" spans="1:2">
      <c r="A1244" s="121">
        <v>44379</v>
      </c>
      <c r="B1244" s="122">
        <v>22456.66</v>
      </c>
    </row>
    <row r="1245" spans="1:2">
      <c r="A1245" s="121">
        <v>44378</v>
      </c>
      <c r="B1245" s="122">
        <v>22396.400000000001</v>
      </c>
    </row>
    <row r="1246" spans="1:2">
      <c r="A1246" s="121">
        <v>44377</v>
      </c>
      <c r="B1246" s="122">
        <v>22455.7</v>
      </c>
    </row>
    <row r="1247" spans="1:2">
      <c r="A1247" s="121">
        <v>44376</v>
      </c>
      <c r="B1247" s="122">
        <v>22493.599999999999</v>
      </c>
    </row>
    <row r="1248" spans="1:2">
      <c r="A1248" s="121">
        <v>44375</v>
      </c>
      <c r="B1248" s="122">
        <v>22578.86</v>
      </c>
    </row>
    <row r="1249" spans="1:2">
      <c r="A1249" s="121">
        <v>44372</v>
      </c>
      <c r="B1249" s="122">
        <v>22644.06</v>
      </c>
    </row>
    <row r="1250" spans="1:2">
      <c r="A1250" s="121">
        <v>44371</v>
      </c>
      <c r="B1250" s="122">
        <v>22544.26</v>
      </c>
    </row>
    <row r="1251" spans="1:2">
      <c r="A1251" s="121">
        <v>44370</v>
      </c>
      <c r="B1251" s="122">
        <v>22395.25</v>
      </c>
    </row>
    <row r="1252" spans="1:2">
      <c r="A1252" s="121">
        <v>44369</v>
      </c>
      <c r="B1252" s="122">
        <v>22517.74</v>
      </c>
    </row>
    <row r="1253" spans="1:2">
      <c r="A1253" s="121">
        <v>44368</v>
      </c>
      <c r="B1253" s="122">
        <v>22480.3</v>
      </c>
    </row>
    <row r="1254" spans="1:2">
      <c r="A1254" s="121">
        <v>44365</v>
      </c>
      <c r="B1254" s="122">
        <v>22390.11</v>
      </c>
    </row>
    <row r="1255" spans="1:2">
      <c r="A1255" s="121">
        <v>44364</v>
      </c>
      <c r="B1255" s="122">
        <v>22401.65</v>
      </c>
    </row>
    <row r="1256" spans="1:2">
      <c r="A1256" s="121">
        <v>44363</v>
      </c>
      <c r="B1256" s="122">
        <v>22503.9</v>
      </c>
    </row>
    <row r="1257" spans="1:2">
      <c r="A1257" s="121">
        <v>44362</v>
      </c>
      <c r="B1257" s="122">
        <v>22649.05</v>
      </c>
    </row>
    <row r="1258" spans="1:2">
      <c r="A1258" s="121">
        <v>44361</v>
      </c>
      <c r="B1258" s="122">
        <v>22567.11</v>
      </c>
    </row>
    <row r="1259" spans="1:2">
      <c r="A1259" s="121">
        <v>44358</v>
      </c>
      <c r="B1259" s="122">
        <v>22544.26</v>
      </c>
    </row>
    <row r="1260" spans="1:2">
      <c r="A1260" s="121">
        <v>44357</v>
      </c>
      <c r="B1260" s="122">
        <v>22448.94</v>
      </c>
    </row>
    <row r="1261" spans="1:2">
      <c r="A1261" s="121">
        <v>44356</v>
      </c>
      <c r="B1261" s="122">
        <v>22283.52</v>
      </c>
    </row>
    <row r="1262" spans="1:2">
      <c r="A1262" s="121">
        <v>44355</v>
      </c>
      <c r="B1262" s="122">
        <v>22432.77</v>
      </c>
    </row>
    <row r="1263" spans="1:2">
      <c r="A1263" s="121">
        <v>44354</v>
      </c>
      <c r="B1263" s="122">
        <v>22449.24</v>
      </c>
    </row>
    <row r="1264" spans="1:2">
      <c r="A1264" s="121">
        <v>44351</v>
      </c>
      <c r="B1264" s="122">
        <v>22333.23</v>
      </c>
    </row>
    <row r="1265" spans="1:2">
      <c r="A1265" s="121">
        <v>44350</v>
      </c>
      <c r="B1265" s="122">
        <v>22361.86</v>
      </c>
    </row>
    <row r="1266" spans="1:2">
      <c r="A1266" s="121">
        <v>44349</v>
      </c>
      <c r="B1266" s="122">
        <v>22194.18</v>
      </c>
    </row>
    <row r="1267" spans="1:2">
      <c r="A1267" s="121">
        <v>44348</v>
      </c>
      <c r="B1267" s="122">
        <v>22192.25</v>
      </c>
    </row>
    <row r="1268" spans="1:2">
      <c r="A1268" s="121">
        <v>44347</v>
      </c>
      <c r="B1268" s="122">
        <v>22203.59</v>
      </c>
    </row>
    <row r="1269" spans="1:2">
      <c r="A1269" s="121">
        <v>44344</v>
      </c>
      <c r="B1269" s="122">
        <v>21962.31</v>
      </c>
    </row>
    <row r="1270" spans="1:2">
      <c r="A1270" s="121">
        <v>44343</v>
      </c>
      <c r="B1270" s="122">
        <v>21823.14</v>
      </c>
    </row>
    <row r="1271" spans="1:2">
      <c r="A1271" s="121">
        <v>44342</v>
      </c>
      <c r="B1271" s="122">
        <v>21771.35</v>
      </c>
    </row>
    <row r="1272" spans="1:2">
      <c r="A1272" s="121">
        <v>44341</v>
      </c>
      <c r="B1272" s="122">
        <v>21639.040000000001</v>
      </c>
    </row>
    <row r="1273" spans="1:2">
      <c r="A1273" s="121">
        <v>44340</v>
      </c>
      <c r="B1273" s="122">
        <v>21617.03</v>
      </c>
    </row>
    <row r="1274" spans="1:2">
      <c r="A1274" s="121">
        <v>44337</v>
      </c>
      <c r="B1274" s="122">
        <v>21585.18</v>
      </c>
    </row>
    <row r="1275" spans="1:2">
      <c r="A1275" s="121">
        <v>44336</v>
      </c>
      <c r="B1275" s="122">
        <v>21202.21</v>
      </c>
    </row>
    <row r="1276" spans="1:2">
      <c r="A1276" s="121">
        <v>44335</v>
      </c>
      <c r="B1276" s="122">
        <v>21378.71</v>
      </c>
    </row>
    <row r="1277" spans="1:2">
      <c r="A1277" s="121">
        <v>44334</v>
      </c>
      <c r="B1277" s="122">
        <v>21489.56</v>
      </c>
    </row>
    <row r="1278" spans="1:2">
      <c r="A1278" s="121">
        <v>44333</v>
      </c>
      <c r="B1278" s="122">
        <v>21226.53</v>
      </c>
    </row>
    <row r="1279" spans="1:2">
      <c r="A1279" s="121">
        <v>44330</v>
      </c>
      <c r="B1279" s="122">
        <v>20877.560000000001</v>
      </c>
    </row>
    <row r="1280" spans="1:2">
      <c r="A1280" s="121">
        <v>44328</v>
      </c>
      <c r="B1280" s="122">
        <v>20904.13</v>
      </c>
    </row>
    <row r="1281" spans="1:2">
      <c r="A1281" s="121">
        <v>44327</v>
      </c>
      <c r="B1281" s="122">
        <v>21123.53</v>
      </c>
    </row>
    <row r="1282" spans="1:2">
      <c r="A1282" s="121">
        <v>44326</v>
      </c>
      <c r="B1282" s="122">
        <v>21253.8</v>
      </c>
    </row>
    <row r="1283" spans="1:2">
      <c r="A1283" s="121">
        <v>44323</v>
      </c>
      <c r="B1283" s="122">
        <v>21084.26</v>
      </c>
    </row>
    <row r="1284" spans="1:2">
      <c r="A1284" s="121">
        <v>44322</v>
      </c>
      <c r="B1284" s="122">
        <v>20944.41</v>
      </c>
    </row>
    <row r="1285" spans="1:2">
      <c r="A1285" s="121">
        <v>44321</v>
      </c>
      <c r="B1285" s="122">
        <v>20792.240000000002</v>
      </c>
    </row>
    <row r="1286" spans="1:2">
      <c r="A1286" s="121">
        <v>44320</v>
      </c>
      <c r="B1286" s="122">
        <v>20619.62</v>
      </c>
    </row>
    <row r="1287" spans="1:2">
      <c r="A1287" s="121">
        <v>44319</v>
      </c>
      <c r="B1287" s="122">
        <v>20815.43</v>
      </c>
    </row>
    <row r="1288" spans="1:2">
      <c r="A1288" s="121">
        <v>44316</v>
      </c>
      <c r="B1288" s="122">
        <v>20811.13</v>
      </c>
    </row>
    <row r="1289" spans="1:2">
      <c r="A1289" s="121">
        <v>44315</v>
      </c>
      <c r="B1289" s="122">
        <v>21186.3</v>
      </c>
    </row>
    <row r="1290" spans="1:2">
      <c r="A1290" s="121">
        <v>44314</v>
      </c>
      <c r="B1290" s="122">
        <v>21136.41</v>
      </c>
    </row>
    <row r="1291" spans="1:2">
      <c r="A1291" s="121">
        <v>44313</v>
      </c>
      <c r="B1291" s="122">
        <v>20835.669999999998</v>
      </c>
    </row>
    <row r="1292" spans="1:2">
      <c r="A1292" s="121">
        <v>44312</v>
      </c>
      <c r="B1292" s="122">
        <v>20596.72</v>
      </c>
    </row>
    <row r="1293" spans="1:2">
      <c r="A1293" s="121">
        <v>44309</v>
      </c>
      <c r="B1293" s="122">
        <v>20392.439999999999</v>
      </c>
    </row>
    <row r="1294" spans="1:2">
      <c r="A1294" s="121">
        <v>44308</v>
      </c>
      <c r="B1294" s="122">
        <v>20484.63</v>
      </c>
    </row>
    <row r="1295" spans="1:2">
      <c r="A1295" s="121">
        <v>44306</v>
      </c>
      <c r="B1295" s="122">
        <v>20328.55</v>
      </c>
    </row>
    <row r="1296" spans="1:2">
      <c r="A1296" s="121">
        <v>44305</v>
      </c>
      <c r="B1296" s="122">
        <v>20418.16</v>
      </c>
    </row>
    <row r="1297" spans="1:2">
      <c r="A1297" s="121">
        <v>44302</v>
      </c>
      <c r="B1297" s="122">
        <v>20785.61</v>
      </c>
    </row>
    <row r="1298" spans="1:2">
      <c r="A1298" s="121">
        <v>44301</v>
      </c>
      <c r="B1298" s="122">
        <v>20733.88</v>
      </c>
    </row>
    <row r="1299" spans="1:2">
      <c r="A1299" s="121">
        <v>44299</v>
      </c>
      <c r="B1299" s="122">
        <v>20624.86</v>
      </c>
    </row>
    <row r="1300" spans="1:2">
      <c r="A1300" s="121">
        <v>44298</v>
      </c>
      <c r="B1300" s="122">
        <v>20348.990000000002</v>
      </c>
    </row>
    <row r="1301" spans="1:2">
      <c r="A1301" s="121">
        <v>44295</v>
      </c>
      <c r="B1301" s="122">
        <v>21094.17</v>
      </c>
    </row>
    <row r="1302" spans="1:2">
      <c r="A1302" s="121">
        <v>44294</v>
      </c>
      <c r="B1302" s="122">
        <v>21149.59</v>
      </c>
    </row>
    <row r="1303" spans="1:2">
      <c r="A1303" s="121">
        <v>44293</v>
      </c>
      <c r="B1303" s="122">
        <v>21069.32</v>
      </c>
    </row>
    <row r="1304" spans="1:2">
      <c r="A1304" s="121">
        <v>44292</v>
      </c>
      <c r="B1304" s="122">
        <v>20876.57</v>
      </c>
    </row>
    <row r="1305" spans="1:2">
      <c r="A1305" s="121">
        <v>44291</v>
      </c>
      <c r="B1305" s="122">
        <v>20811.61</v>
      </c>
    </row>
    <row r="1306" spans="1:2">
      <c r="A1306" s="121">
        <v>44287</v>
      </c>
      <c r="B1306" s="122">
        <v>21137.69</v>
      </c>
    </row>
    <row r="1307" spans="1:2">
      <c r="A1307" s="121">
        <v>44286</v>
      </c>
      <c r="B1307" s="122">
        <v>20886.52</v>
      </c>
    </row>
    <row r="1308" spans="1:2">
      <c r="A1308" s="121">
        <v>44285</v>
      </c>
      <c r="B1308" s="122">
        <v>21106.06</v>
      </c>
    </row>
    <row r="1309" spans="1:2">
      <c r="A1309" s="121">
        <v>44281</v>
      </c>
      <c r="B1309" s="122">
        <v>20625.79</v>
      </c>
    </row>
    <row r="1310" spans="1:2">
      <c r="A1310" s="121">
        <v>44280</v>
      </c>
      <c r="B1310" s="122">
        <v>20366.419999999998</v>
      </c>
    </row>
    <row r="1311" spans="1:2">
      <c r="A1311" s="121">
        <v>44279</v>
      </c>
      <c r="B1311" s="122">
        <v>20684.27</v>
      </c>
    </row>
    <row r="1312" spans="1:2">
      <c r="A1312" s="121">
        <v>44278</v>
      </c>
      <c r="B1312" s="122">
        <v>21061.52</v>
      </c>
    </row>
    <row r="1313" spans="1:2">
      <c r="A1313" s="121">
        <v>44277</v>
      </c>
      <c r="B1313" s="122">
        <v>20947.650000000001</v>
      </c>
    </row>
    <row r="1314" spans="1:2">
      <c r="A1314" s="121">
        <v>44274</v>
      </c>
      <c r="B1314" s="122">
        <v>20956.87</v>
      </c>
    </row>
    <row r="1315" spans="1:2">
      <c r="A1315" s="121">
        <v>44273</v>
      </c>
      <c r="B1315" s="122">
        <v>20692.34</v>
      </c>
    </row>
    <row r="1316" spans="1:2">
      <c r="A1316" s="121">
        <v>44272</v>
      </c>
      <c r="B1316" s="122">
        <v>20924.61</v>
      </c>
    </row>
    <row r="1317" spans="1:2">
      <c r="A1317" s="121">
        <v>44271</v>
      </c>
      <c r="B1317" s="122">
        <v>21193.46</v>
      </c>
    </row>
    <row r="1318" spans="1:2">
      <c r="A1318" s="121">
        <v>44270</v>
      </c>
      <c r="B1318" s="122">
        <v>21220.59</v>
      </c>
    </row>
    <row r="1319" spans="1:2">
      <c r="A1319" s="121">
        <v>44267</v>
      </c>
      <c r="B1319" s="122">
        <v>21361.29</v>
      </c>
    </row>
    <row r="1320" spans="1:2">
      <c r="A1320" s="121">
        <v>44265</v>
      </c>
      <c r="B1320" s="122">
        <v>21565.72</v>
      </c>
    </row>
    <row r="1321" spans="1:2">
      <c r="A1321" s="121">
        <v>44264</v>
      </c>
      <c r="B1321" s="122">
        <v>21457.17</v>
      </c>
    </row>
    <row r="1322" spans="1:2">
      <c r="A1322" s="121">
        <v>44263</v>
      </c>
      <c r="B1322" s="122">
        <v>21255.06</v>
      </c>
    </row>
    <row r="1323" spans="1:2">
      <c r="A1323" s="121">
        <v>44260</v>
      </c>
      <c r="B1323" s="122">
        <v>21225.94</v>
      </c>
    </row>
    <row r="1324" spans="1:2">
      <c r="A1324" s="121">
        <v>44259</v>
      </c>
      <c r="B1324" s="122">
        <v>21428.63</v>
      </c>
    </row>
    <row r="1325" spans="1:2">
      <c r="A1325" s="121">
        <v>44258</v>
      </c>
      <c r="B1325" s="122">
        <v>21662.92</v>
      </c>
    </row>
    <row r="1326" spans="1:2">
      <c r="A1326" s="121">
        <v>44257</v>
      </c>
      <c r="B1326" s="122">
        <v>21198.93</v>
      </c>
    </row>
    <row r="1327" spans="1:2">
      <c r="A1327" s="121">
        <v>44256</v>
      </c>
      <c r="B1327" s="122">
        <v>20975.08</v>
      </c>
    </row>
    <row r="1328" spans="1:2">
      <c r="A1328" s="121">
        <v>44253</v>
      </c>
      <c r="B1328" s="122">
        <v>20644.88</v>
      </c>
    </row>
    <row r="1329" spans="1:2">
      <c r="A1329" s="121">
        <v>44252</v>
      </c>
      <c r="B1329" s="122">
        <v>21452.240000000002</v>
      </c>
    </row>
    <row r="1330" spans="1:2">
      <c r="A1330" s="121">
        <v>44251</v>
      </c>
      <c r="B1330" s="122">
        <v>21288.35</v>
      </c>
    </row>
    <row r="1331" spans="1:2">
      <c r="A1331" s="121">
        <v>44250</v>
      </c>
      <c r="B1331" s="122">
        <v>20898.75</v>
      </c>
    </row>
    <row r="1332" spans="1:2">
      <c r="A1332" s="121">
        <v>44249</v>
      </c>
      <c r="B1332" s="122">
        <v>20853.12</v>
      </c>
    </row>
    <row r="1333" spans="1:2">
      <c r="A1333" s="121">
        <v>44246</v>
      </c>
      <c r="B1333" s="122">
        <v>21273.279999999999</v>
      </c>
    </row>
    <row r="1334" spans="1:2">
      <c r="A1334" s="121">
        <v>44245</v>
      </c>
      <c r="B1334" s="122">
        <v>21468.11</v>
      </c>
    </row>
    <row r="1335" spans="1:2">
      <c r="A1335" s="121">
        <v>44244</v>
      </c>
      <c r="B1335" s="122">
        <v>21595.82</v>
      </c>
    </row>
    <row r="1336" spans="1:2">
      <c r="A1336" s="121">
        <v>44243</v>
      </c>
      <c r="B1336" s="122">
        <v>21737.9</v>
      </c>
    </row>
    <row r="1337" spans="1:2">
      <c r="A1337" s="121">
        <v>44242</v>
      </c>
      <c r="B1337" s="122">
        <v>21739.69</v>
      </c>
    </row>
    <row r="1338" spans="1:2">
      <c r="A1338" s="121">
        <v>44239</v>
      </c>
      <c r="B1338" s="122">
        <v>21521.82</v>
      </c>
    </row>
    <row r="1339" spans="1:2">
      <c r="A1339" s="121">
        <v>44238</v>
      </c>
      <c r="B1339" s="122">
        <v>21536</v>
      </c>
    </row>
    <row r="1340" spans="1:2">
      <c r="A1340" s="121">
        <v>44237</v>
      </c>
      <c r="B1340" s="122">
        <v>21436.44</v>
      </c>
    </row>
    <row r="1341" spans="1:2">
      <c r="A1341" s="121">
        <v>44236</v>
      </c>
      <c r="B1341" s="122">
        <v>21440.42</v>
      </c>
    </row>
    <row r="1342" spans="1:2">
      <c r="A1342" s="121">
        <v>44235</v>
      </c>
      <c r="B1342" s="122">
        <v>21447.64</v>
      </c>
    </row>
    <row r="1343" spans="1:2">
      <c r="A1343" s="121">
        <v>44232</v>
      </c>
      <c r="B1343" s="122">
        <v>21175.89</v>
      </c>
    </row>
    <row r="1344" spans="1:2">
      <c r="A1344" s="121">
        <v>44231</v>
      </c>
      <c r="B1344" s="122">
        <v>21135.31</v>
      </c>
    </row>
    <row r="1345" spans="1:2">
      <c r="A1345" s="121">
        <v>44230</v>
      </c>
      <c r="B1345" s="122">
        <v>20985.32</v>
      </c>
    </row>
    <row r="1346" spans="1:2">
      <c r="A1346" s="121">
        <v>44229</v>
      </c>
      <c r="B1346" s="122">
        <v>20783.689999999999</v>
      </c>
    </row>
    <row r="1347" spans="1:2">
      <c r="A1347" s="121">
        <v>44228</v>
      </c>
      <c r="B1347" s="122">
        <v>20263.439999999999</v>
      </c>
    </row>
    <row r="1348" spans="1:2">
      <c r="A1348" s="121">
        <v>44225</v>
      </c>
      <c r="B1348" s="122">
        <v>19346.03</v>
      </c>
    </row>
    <row r="1349" spans="1:2">
      <c r="A1349" s="121">
        <v>44224</v>
      </c>
      <c r="B1349" s="122">
        <v>19605.59</v>
      </c>
    </row>
    <row r="1350" spans="1:2">
      <c r="A1350" s="121">
        <v>44223</v>
      </c>
      <c r="B1350" s="122">
        <v>19818.34</v>
      </c>
    </row>
    <row r="1351" spans="1:2">
      <c r="A1351" s="121">
        <v>44221</v>
      </c>
      <c r="B1351" s="122">
        <v>20201.900000000001</v>
      </c>
    </row>
    <row r="1352" spans="1:2">
      <c r="A1352" s="121">
        <v>44218</v>
      </c>
      <c r="B1352" s="122">
        <v>20390.57</v>
      </c>
    </row>
    <row r="1353" spans="1:2">
      <c r="A1353" s="121">
        <v>44217</v>
      </c>
      <c r="B1353" s="122">
        <v>20700.02</v>
      </c>
    </row>
    <row r="1354" spans="1:2">
      <c r="A1354" s="121">
        <v>44216</v>
      </c>
      <c r="B1354" s="122">
        <v>20775.669999999998</v>
      </c>
    </row>
    <row r="1355" spans="1:2">
      <c r="A1355" s="121">
        <v>44215</v>
      </c>
      <c r="B1355" s="122">
        <v>20600.41</v>
      </c>
    </row>
    <row r="1356" spans="1:2">
      <c r="A1356" s="121">
        <v>44214</v>
      </c>
      <c r="B1356" s="122">
        <v>20260.18</v>
      </c>
    </row>
    <row r="1357" spans="1:2">
      <c r="A1357" s="121">
        <v>44211</v>
      </c>
      <c r="B1357" s="122">
        <v>20476.38</v>
      </c>
    </row>
    <row r="1358" spans="1:2">
      <c r="A1358" s="121">
        <v>44210</v>
      </c>
      <c r="B1358" s="122">
        <v>20706.07</v>
      </c>
    </row>
    <row r="1359" spans="1:2">
      <c r="A1359" s="121">
        <v>44209</v>
      </c>
      <c r="B1359" s="122">
        <v>20660.349999999999</v>
      </c>
    </row>
    <row r="1360" spans="1:2">
      <c r="A1360" s="121">
        <v>44208</v>
      </c>
      <c r="B1360" s="122">
        <v>20658.34</v>
      </c>
    </row>
    <row r="1361" spans="1:2">
      <c r="A1361" s="121">
        <v>44207</v>
      </c>
      <c r="B1361" s="122">
        <v>20546.740000000002</v>
      </c>
    </row>
    <row r="1362" spans="1:2">
      <c r="A1362" s="121">
        <v>44204</v>
      </c>
      <c r="B1362" s="122">
        <v>20351.669999999998</v>
      </c>
    </row>
    <row r="1363" spans="1:2">
      <c r="A1363" s="121">
        <v>44203</v>
      </c>
      <c r="B1363" s="122">
        <v>20053.97</v>
      </c>
    </row>
    <row r="1364" spans="1:2">
      <c r="A1364" s="121">
        <v>44202</v>
      </c>
      <c r="B1364" s="122">
        <v>20066.560000000001</v>
      </c>
    </row>
    <row r="1365" spans="1:2">
      <c r="A1365" s="121">
        <v>44201</v>
      </c>
      <c r="B1365" s="122">
        <v>20142.13</v>
      </c>
    </row>
    <row r="1366" spans="1:2">
      <c r="A1366" s="121">
        <v>44200</v>
      </c>
      <c r="B1366" s="122">
        <v>20047.61</v>
      </c>
    </row>
    <row r="1367" spans="1:2">
      <c r="A1367" s="121">
        <v>44197</v>
      </c>
      <c r="B1367" s="122">
        <v>19885.36</v>
      </c>
    </row>
    <row r="1368" spans="1:2">
      <c r="A1368" s="121">
        <v>44196</v>
      </c>
      <c r="B1368" s="122">
        <v>19833.189999999999</v>
      </c>
    </row>
    <row r="1369" spans="1:2">
      <c r="A1369" s="121">
        <v>44195</v>
      </c>
      <c r="B1369" s="122">
        <v>19833.53</v>
      </c>
    </row>
    <row r="1370" spans="1:2">
      <c r="A1370" s="121">
        <v>44194</v>
      </c>
      <c r="B1370" s="122">
        <v>19763.509999999998</v>
      </c>
    </row>
    <row r="1371" spans="1:2">
      <c r="A1371" s="121">
        <v>44193</v>
      </c>
      <c r="B1371" s="122">
        <v>19679.240000000002</v>
      </c>
    </row>
    <row r="1372" spans="1:2">
      <c r="A1372" s="121">
        <v>44189</v>
      </c>
      <c r="B1372" s="122">
        <v>19503.400000000001</v>
      </c>
    </row>
    <row r="1373" spans="1:2">
      <c r="A1373" s="121">
        <v>44188</v>
      </c>
      <c r="B1373" s="122">
        <v>19293.259999999998</v>
      </c>
    </row>
    <row r="1374" spans="1:2">
      <c r="A1374" s="121">
        <v>44187</v>
      </c>
      <c r="B1374" s="122">
        <v>19102.060000000001</v>
      </c>
    </row>
    <row r="1375" spans="1:2">
      <c r="A1375" s="121">
        <v>44186</v>
      </c>
      <c r="B1375" s="122">
        <v>18906.45</v>
      </c>
    </row>
    <row r="1376" spans="1:2">
      <c r="A1376" s="121">
        <v>44183</v>
      </c>
      <c r="B1376" s="122">
        <v>19519.419999999998</v>
      </c>
    </row>
    <row r="1377" spans="1:2">
      <c r="A1377" s="121">
        <v>44182</v>
      </c>
      <c r="B1377" s="122">
        <v>19491.3</v>
      </c>
    </row>
    <row r="1378" spans="1:2">
      <c r="A1378" s="121">
        <v>44181</v>
      </c>
      <c r="B1378" s="122">
        <v>19404.8</v>
      </c>
    </row>
    <row r="1379" spans="1:2">
      <c r="A1379" s="121">
        <v>44180</v>
      </c>
      <c r="B1379" s="122">
        <v>19241.900000000001</v>
      </c>
    </row>
    <row r="1380" spans="1:2">
      <c r="A1380" s="121">
        <v>44179</v>
      </c>
      <c r="B1380" s="122">
        <v>19228.16</v>
      </c>
    </row>
    <row r="1381" spans="1:2">
      <c r="A1381" s="121">
        <v>44176</v>
      </c>
      <c r="B1381" s="122">
        <v>19165.330000000002</v>
      </c>
    </row>
    <row r="1382" spans="1:2">
      <c r="A1382" s="121">
        <v>44175</v>
      </c>
      <c r="B1382" s="122">
        <v>19114.96</v>
      </c>
    </row>
    <row r="1383" spans="1:2">
      <c r="A1383" s="121">
        <v>44174</v>
      </c>
      <c r="B1383" s="122">
        <v>19186.95</v>
      </c>
    </row>
    <row r="1384" spans="1:2">
      <c r="A1384" s="121">
        <v>44173</v>
      </c>
      <c r="B1384" s="122">
        <v>18993.86</v>
      </c>
    </row>
    <row r="1385" spans="1:2">
      <c r="A1385" s="121">
        <v>44172</v>
      </c>
      <c r="B1385" s="122">
        <v>18941.150000000001</v>
      </c>
    </row>
    <row r="1386" spans="1:2">
      <c r="A1386" s="121">
        <v>44169</v>
      </c>
      <c r="B1386" s="122">
        <v>18803.27</v>
      </c>
    </row>
    <row r="1387" spans="1:2">
      <c r="A1387" s="121">
        <v>44168</v>
      </c>
      <c r="B1387" s="122">
        <v>18626.53</v>
      </c>
    </row>
    <row r="1388" spans="1:2">
      <c r="A1388" s="121">
        <v>44167</v>
      </c>
      <c r="B1388" s="122">
        <v>18597.900000000001</v>
      </c>
    </row>
    <row r="1389" spans="1:2">
      <c r="A1389" s="121">
        <v>44166</v>
      </c>
      <c r="B1389" s="122">
        <v>18591.25</v>
      </c>
    </row>
    <row r="1390" spans="1:2">
      <c r="A1390" s="121">
        <v>44162</v>
      </c>
      <c r="B1390" s="122">
        <v>18392.54</v>
      </c>
    </row>
    <row r="1391" spans="1:2">
      <c r="A1391" s="121">
        <v>44161</v>
      </c>
      <c r="B1391" s="122">
        <v>18418.16</v>
      </c>
    </row>
    <row r="1392" spans="1:2">
      <c r="A1392" s="121">
        <v>44160</v>
      </c>
      <c r="B1392" s="122">
        <v>18235.759999999998</v>
      </c>
    </row>
    <row r="1393" spans="1:2">
      <c r="A1393" s="121">
        <v>44159</v>
      </c>
      <c r="B1393" s="122">
        <v>18514.82</v>
      </c>
    </row>
    <row r="1394" spans="1:2">
      <c r="A1394" s="121">
        <v>44158</v>
      </c>
      <c r="B1394" s="122">
        <v>18332.330000000002</v>
      </c>
    </row>
    <row r="1395" spans="1:2">
      <c r="A1395" s="121">
        <v>44155</v>
      </c>
      <c r="B1395" s="122">
        <v>18236.68</v>
      </c>
    </row>
    <row r="1396" spans="1:2">
      <c r="A1396" s="121">
        <v>44154</v>
      </c>
      <c r="B1396" s="122">
        <v>18112.830000000002</v>
      </c>
    </row>
    <row r="1397" spans="1:2">
      <c r="A1397" s="121">
        <v>44153</v>
      </c>
      <c r="B1397" s="122">
        <v>18349.02</v>
      </c>
    </row>
    <row r="1398" spans="1:2">
      <c r="A1398" s="121">
        <v>44152</v>
      </c>
      <c r="B1398" s="122">
        <v>18258.23</v>
      </c>
    </row>
    <row r="1399" spans="1:2">
      <c r="A1399" s="121">
        <v>44149</v>
      </c>
      <c r="B1399" s="122">
        <v>18124.93</v>
      </c>
    </row>
    <row r="1400" spans="1:2">
      <c r="A1400" s="121">
        <v>44148</v>
      </c>
      <c r="B1400" s="122">
        <v>18039.439999999999</v>
      </c>
    </row>
    <row r="1401" spans="1:2">
      <c r="A1401" s="121">
        <v>44147</v>
      </c>
      <c r="B1401" s="122">
        <v>17998.11</v>
      </c>
    </row>
    <row r="1402" spans="1:2">
      <c r="A1402" s="121">
        <v>44146</v>
      </c>
      <c r="B1402" s="122">
        <v>18080.84</v>
      </c>
    </row>
    <row r="1403" spans="1:2">
      <c r="A1403" s="121">
        <v>44145</v>
      </c>
      <c r="B1403" s="122">
        <v>17913.400000000001</v>
      </c>
    </row>
    <row r="1404" spans="1:2">
      <c r="A1404" s="121">
        <v>44144</v>
      </c>
      <c r="B1404" s="122">
        <v>17672.25</v>
      </c>
    </row>
    <row r="1405" spans="1:2">
      <c r="A1405" s="121">
        <v>44141</v>
      </c>
      <c r="B1405" s="122">
        <v>17392.14</v>
      </c>
    </row>
    <row r="1406" spans="1:2">
      <c r="A1406" s="121">
        <v>44140</v>
      </c>
      <c r="B1406" s="122">
        <v>17189.03</v>
      </c>
    </row>
    <row r="1407" spans="1:2">
      <c r="A1407" s="121">
        <v>44139</v>
      </c>
      <c r="B1407" s="122">
        <v>16888.650000000001</v>
      </c>
    </row>
    <row r="1408" spans="1:2">
      <c r="A1408" s="121">
        <v>44138</v>
      </c>
      <c r="B1408" s="122">
        <v>16746.75</v>
      </c>
    </row>
    <row r="1409" spans="1:2">
      <c r="A1409" s="121">
        <v>44137</v>
      </c>
      <c r="B1409" s="122">
        <v>16542.080000000002</v>
      </c>
    </row>
    <row r="1410" spans="1:2">
      <c r="A1410" s="121">
        <v>44134</v>
      </c>
      <c r="B1410" s="122">
        <v>16504.16</v>
      </c>
    </row>
    <row r="1411" spans="1:2">
      <c r="A1411" s="121">
        <v>44133</v>
      </c>
      <c r="B1411" s="122">
        <v>16544.45</v>
      </c>
    </row>
    <row r="1412" spans="1:2">
      <c r="A1412" s="121">
        <v>44132</v>
      </c>
      <c r="B1412" s="122">
        <v>16623.13</v>
      </c>
    </row>
    <row r="1413" spans="1:2">
      <c r="A1413" s="121">
        <v>44131</v>
      </c>
      <c r="B1413" s="122">
        <v>16844.96</v>
      </c>
    </row>
    <row r="1414" spans="1:2">
      <c r="A1414" s="121">
        <v>44130</v>
      </c>
      <c r="B1414" s="122">
        <v>16672.62</v>
      </c>
    </row>
    <row r="1415" spans="1:2">
      <c r="A1415" s="121">
        <v>44127</v>
      </c>
      <c r="B1415" s="122">
        <v>16902.96</v>
      </c>
    </row>
    <row r="1416" spans="1:2">
      <c r="A1416" s="121">
        <v>44126</v>
      </c>
      <c r="B1416" s="122">
        <v>16840.52</v>
      </c>
    </row>
    <row r="1417" spans="1:2">
      <c r="A1417" s="121">
        <v>44125</v>
      </c>
      <c r="B1417" s="122">
        <v>16897.43</v>
      </c>
    </row>
    <row r="1418" spans="1:2">
      <c r="A1418" s="121">
        <v>44124</v>
      </c>
      <c r="B1418" s="122">
        <v>16839.599999999999</v>
      </c>
    </row>
    <row r="1419" spans="1:2">
      <c r="A1419" s="121">
        <v>44123</v>
      </c>
      <c r="B1419" s="122">
        <v>16805.97</v>
      </c>
    </row>
    <row r="1420" spans="1:2">
      <c r="A1420" s="121">
        <v>44120</v>
      </c>
      <c r="B1420" s="122">
        <v>16649.46</v>
      </c>
    </row>
    <row r="1421" spans="1:2">
      <c r="A1421" s="121">
        <v>44119</v>
      </c>
      <c r="B1421" s="122">
        <v>16533.240000000002</v>
      </c>
    </row>
    <row r="1422" spans="1:2">
      <c r="A1422" s="121">
        <v>44118</v>
      </c>
      <c r="B1422" s="122">
        <v>16944.73</v>
      </c>
    </row>
    <row r="1423" spans="1:2">
      <c r="A1423" s="121">
        <v>44117</v>
      </c>
      <c r="B1423" s="122">
        <v>16888.87</v>
      </c>
    </row>
    <row r="1424" spans="1:2">
      <c r="A1424" s="121">
        <v>44116</v>
      </c>
      <c r="B1424" s="122">
        <v>16883.84</v>
      </c>
    </row>
    <row r="1425" spans="1:2">
      <c r="A1425" s="121">
        <v>44113</v>
      </c>
      <c r="B1425" s="122">
        <v>16860.11</v>
      </c>
    </row>
    <row r="1426" spans="1:2">
      <c r="A1426" s="121">
        <v>44112</v>
      </c>
      <c r="B1426" s="122">
        <v>16747.48</v>
      </c>
    </row>
    <row r="1427" spans="1:2">
      <c r="A1427" s="121">
        <v>44111</v>
      </c>
      <c r="B1427" s="122">
        <v>16611.96</v>
      </c>
    </row>
    <row r="1428" spans="1:2">
      <c r="A1428" s="121">
        <v>44110</v>
      </c>
      <c r="B1428" s="122">
        <v>16503.77</v>
      </c>
    </row>
    <row r="1429" spans="1:2">
      <c r="A1429" s="121">
        <v>44109</v>
      </c>
      <c r="B1429" s="122">
        <v>16278.72</v>
      </c>
    </row>
    <row r="1430" spans="1:2">
      <c r="A1430" s="121">
        <v>44105</v>
      </c>
      <c r="B1430" s="122">
        <v>16156.44</v>
      </c>
    </row>
    <row r="1431" spans="1:2">
      <c r="A1431" s="121">
        <v>44104</v>
      </c>
      <c r="B1431" s="122">
        <v>15916.72</v>
      </c>
    </row>
    <row r="1432" spans="1:2">
      <c r="A1432" s="121">
        <v>44103</v>
      </c>
      <c r="B1432" s="122">
        <v>15881.16</v>
      </c>
    </row>
    <row r="1433" spans="1:2">
      <c r="A1433" s="121">
        <v>44102</v>
      </c>
      <c r="B1433" s="122">
        <v>15888.44</v>
      </c>
    </row>
    <row r="1434" spans="1:2">
      <c r="A1434" s="121">
        <v>44099</v>
      </c>
      <c r="B1434" s="122">
        <v>15637.53</v>
      </c>
    </row>
    <row r="1435" spans="1:2">
      <c r="A1435" s="121">
        <v>44098</v>
      </c>
      <c r="B1435" s="122">
        <v>15291.25</v>
      </c>
    </row>
    <row r="1436" spans="1:2">
      <c r="A1436" s="121">
        <v>44097</v>
      </c>
      <c r="B1436" s="122">
        <v>15752.97</v>
      </c>
    </row>
    <row r="1437" spans="1:2">
      <c r="A1437" s="121">
        <v>44096</v>
      </c>
      <c r="B1437" s="122">
        <v>15783.87</v>
      </c>
    </row>
    <row r="1438" spans="1:2">
      <c r="A1438" s="121">
        <v>44095</v>
      </c>
      <c r="B1438" s="122">
        <v>15920.99</v>
      </c>
    </row>
    <row r="1439" spans="1:2">
      <c r="A1439" s="121">
        <v>44092</v>
      </c>
      <c r="B1439" s="122">
        <v>16281</v>
      </c>
    </row>
    <row r="1440" spans="1:2">
      <c r="A1440" s="121">
        <v>44091</v>
      </c>
      <c r="B1440" s="122">
        <v>16296.78</v>
      </c>
    </row>
    <row r="1441" spans="1:2">
      <c r="A1441" s="121">
        <v>44090</v>
      </c>
      <c r="B1441" s="122">
        <v>16421.95</v>
      </c>
    </row>
    <row r="1442" spans="1:2">
      <c r="A1442" s="121">
        <v>44089</v>
      </c>
      <c r="B1442" s="122">
        <v>16304.84</v>
      </c>
    </row>
    <row r="1443" spans="1:2">
      <c r="A1443" s="121">
        <v>44088</v>
      </c>
      <c r="B1443" s="122">
        <v>16189.14</v>
      </c>
    </row>
    <row r="1444" spans="1:2">
      <c r="A1444" s="121">
        <v>44085</v>
      </c>
      <c r="B1444" s="122">
        <v>16222.92</v>
      </c>
    </row>
    <row r="1445" spans="1:2">
      <c r="A1445" s="121">
        <v>44084</v>
      </c>
      <c r="B1445" s="122">
        <v>16201.44</v>
      </c>
    </row>
    <row r="1446" spans="1:2">
      <c r="A1446" s="121">
        <v>44083</v>
      </c>
      <c r="B1446" s="122">
        <v>15958.99</v>
      </c>
    </row>
    <row r="1447" spans="1:2">
      <c r="A1447" s="121">
        <v>44082</v>
      </c>
      <c r="B1447" s="122">
        <v>16014.67</v>
      </c>
    </row>
    <row r="1448" spans="1:2">
      <c r="A1448" s="121">
        <v>44081</v>
      </c>
      <c r="B1448" s="122">
        <v>16068.06</v>
      </c>
    </row>
    <row r="1449" spans="1:2">
      <c r="A1449" s="121">
        <v>44078</v>
      </c>
      <c r="B1449" s="122">
        <v>16038.07</v>
      </c>
    </row>
    <row r="1450" spans="1:2">
      <c r="A1450" s="121">
        <v>44077</v>
      </c>
      <c r="B1450" s="122">
        <v>16311.99</v>
      </c>
    </row>
    <row r="1451" spans="1:2">
      <c r="A1451" s="121">
        <v>44076</v>
      </c>
      <c r="B1451" s="122">
        <v>16322.17</v>
      </c>
    </row>
    <row r="1452" spans="1:2">
      <c r="A1452" s="121">
        <v>44075</v>
      </c>
      <c r="B1452" s="122">
        <v>16227.14</v>
      </c>
    </row>
    <row r="1453" spans="1:2">
      <c r="A1453" s="121">
        <v>44074</v>
      </c>
      <c r="B1453" s="122">
        <v>16110.07</v>
      </c>
    </row>
    <row r="1454" spans="1:2">
      <c r="A1454" s="121">
        <v>44071</v>
      </c>
      <c r="B1454" s="122">
        <v>16478.009999999998</v>
      </c>
    </row>
    <row r="1455" spans="1:2">
      <c r="A1455" s="121">
        <v>44070</v>
      </c>
      <c r="B1455" s="122">
        <v>16353.08</v>
      </c>
    </row>
    <row r="1456" spans="1:2">
      <c r="A1456" s="121">
        <v>44069</v>
      </c>
      <c r="B1456" s="122">
        <v>16339.41</v>
      </c>
    </row>
    <row r="1457" spans="1:2">
      <c r="A1457" s="121">
        <v>44068</v>
      </c>
      <c r="B1457" s="122">
        <v>16226.2</v>
      </c>
    </row>
    <row r="1458" spans="1:2">
      <c r="A1458" s="121">
        <v>44067</v>
      </c>
      <c r="B1458" s="122">
        <v>16218.02</v>
      </c>
    </row>
    <row r="1459" spans="1:2">
      <c r="A1459" s="121">
        <v>44064</v>
      </c>
      <c r="B1459" s="122">
        <v>16083.84</v>
      </c>
    </row>
    <row r="1460" spans="1:2">
      <c r="A1460" s="121">
        <v>44063</v>
      </c>
      <c r="B1460" s="122">
        <v>15999.86</v>
      </c>
    </row>
    <row r="1461" spans="1:2">
      <c r="A1461" s="121">
        <v>44062</v>
      </c>
      <c r="B1461" s="122">
        <v>16135.89</v>
      </c>
    </row>
    <row r="1462" spans="1:2">
      <c r="A1462" s="121">
        <v>44061</v>
      </c>
      <c r="B1462" s="122">
        <v>16101.86</v>
      </c>
    </row>
    <row r="1463" spans="1:2">
      <c r="A1463" s="121">
        <v>44060</v>
      </c>
      <c r="B1463" s="122">
        <v>15906.29</v>
      </c>
    </row>
    <row r="1464" spans="1:2">
      <c r="A1464" s="121">
        <v>44057</v>
      </c>
      <c r="B1464" s="122">
        <v>15809.17</v>
      </c>
    </row>
    <row r="1465" spans="1:2">
      <c r="A1465" s="121">
        <v>44056</v>
      </c>
      <c r="B1465" s="122">
        <v>15981.73</v>
      </c>
    </row>
    <row r="1466" spans="1:2">
      <c r="A1466" s="121">
        <v>44055</v>
      </c>
      <c r="B1466" s="122">
        <v>15986.03</v>
      </c>
    </row>
    <row r="1467" spans="1:2">
      <c r="A1467" s="121">
        <v>44054</v>
      </c>
      <c r="B1467" s="122">
        <v>16005.99</v>
      </c>
    </row>
    <row r="1468" spans="1:2">
      <c r="A1468" s="121">
        <v>44053</v>
      </c>
      <c r="B1468" s="122">
        <v>15931.97</v>
      </c>
    </row>
    <row r="1469" spans="1:2">
      <c r="A1469" s="121">
        <v>44050</v>
      </c>
      <c r="B1469" s="122">
        <v>15852.65</v>
      </c>
    </row>
    <row r="1470" spans="1:2">
      <c r="A1470" s="121">
        <v>44049</v>
      </c>
      <c r="B1470" s="122">
        <v>15833.02</v>
      </c>
    </row>
    <row r="1471" spans="1:2">
      <c r="A1471" s="121">
        <v>44048</v>
      </c>
      <c r="B1471" s="122">
        <v>15689.69</v>
      </c>
    </row>
    <row r="1472" spans="1:2">
      <c r="A1472" s="121">
        <v>44047</v>
      </c>
      <c r="B1472" s="122">
        <v>15676.74</v>
      </c>
    </row>
    <row r="1473" spans="1:2">
      <c r="A1473" s="121">
        <v>44046</v>
      </c>
      <c r="B1473" s="122">
        <v>15388.98</v>
      </c>
    </row>
    <row r="1474" spans="1:2">
      <c r="A1474" s="121">
        <v>44043</v>
      </c>
      <c r="B1474" s="122">
        <v>15645.34</v>
      </c>
    </row>
    <row r="1475" spans="1:2">
      <c r="A1475" s="121">
        <v>44042</v>
      </c>
      <c r="B1475" s="122">
        <v>15685.92</v>
      </c>
    </row>
    <row r="1476" spans="1:2">
      <c r="A1476" s="121">
        <v>44041</v>
      </c>
      <c r="B1476" s="122">
        <v>15824.19</v>
      </c>
    </row>
    <row r="1477" spans="1:2">
      <c r="A1477" s="121">
        <v>44040</v>
      </c>
      <c r="B1477" s="122">
        <v>15961.7</v>
      </c>
    </row>
    <row r="1478" spans="1:2">
      <c r="A1478" s="121">
        <v>44039</v>
      </c>
      <c r="B1478" s="122">
        <v>15723.39</v>
      </c>
    </row>
    <row r="1479" spans="1:2">
      <c r="A1479" s="121">
        <v>44036</v>
      </c>
      <c r="B1479" s="122">
        <v>15811.4</v>
      </c>
    </row>
    <row r="1480" spans="1:2">
      <c r="A1480" s="121">
        <v>44035</v>
      </c>
      <c r="B1480" s="122">
        <v>15841.48</v>
      </c>
    </row>
    <row r="1481" spans="1:2">
      <c r="A1481" s="121">
        <v>44034</v>
      </c>
      <c r="B1481" s="122">
        <v>15722.51</v>
      </c>
    </row>
    <row r="1482" spans="1:2">
      <c r="A1482" s="121">
        <v>44033</v>
      </c>
      <c r="B1482" s="122">
        <v>15764.41</v>
      </c>
    </row>
    <row r="1483" spans="1:2">
      <c r="A1483" s="121">
        <v>44032</v>
      </c>
      <c r="B1483" s="122">
        <v>15566.56</v>
      </c>
    </row>
    <row r="1484" spans="1:2">
      <c r="A1484" s="121">
        <v>44029</v>
      </c>
      <c r="B1484" s="122">
        <v>15396.44</v>
      </c>
    </row>
    <row r="1485" spans="1:2">
      <c r="A1485" s="121">
        <v>44028</v>
      </c>
      <c r="B1485" s="122">
        <v>15167.99</v>
      </c>
    </row>
    <row r="1486" spans="1:2">
      <c r="A1486" s="121">
        <v>44027</v>
      </c>
      <c r="B1486" s="122">
        <v>14993.52</v>
      </c>
    </row>
    <row r="1487" spans="1:2">
      <c r="A1487" s="121">
        <v>44026</v>
      </c>
      <c r="B1487" s="122">
        <v>14978.23</v>
      </c>
    </row>
    <row r="1488" spans="1:2">
      <c r="A1488" s="121">
        <v>44025</v>
      </c>
      <c r="B1488" s="122">
        <v>15254.09</v>
      </c>
    </row>
    <row r="1489" spans="1:2">
      <c r="A1489" s="121">
        <v>44022</v>
      </c>
      <c r="B1489" s="122">
        <v>15204.13</v>
      </c>
    </row>
    <row r="1490" spans="1:2">
      <c r="A1490" s="121">
        <v>44021</v>
      </c>
      <c r="B1490" s="122">
        <v>15268.19</v>
      </c>
    </row>
    <row r="1491" spans="1:2">
      <c r="A1491" s="121">
        <v>44020</v>
      </c>
      <c r="B1491" s="122">
        <v>15104.09</v>
      </c>
    </row>
    <row r="1492" spans="1:2">
      <c r="A1492" s="121">
        <v>44019</v>
      </c>
      <c r="B1492" s="122">
        <v>15236.58</v>
      </c>
    </row>
    <row r="1493" spans="1:2">
      <c r="A1493" s="121">
        <v>44018</v>
      </c>
      <c r="B1493" s="122">
        <v>15185.78</v>
      </c>
    </row>
    <row r="1494" spans="1:2">
      <c r="A1494" s="121">
        <v>44015</v>
      </c>
      <c r="B1494" s="122">
        <v>14964.59</v>
      </c>
    </row>
    <row r="1495" spans="1:2">
      <c r="A1495" s="121">
        <v>44014</v>
      </c>
      <c r="B1495" s="122">
        <v>14886.06</v>
      </c>
    </row>
    <row r="1496" spans="1:2">
      <c r="A1496" s="121">
        <v>44013</v>
      </c>
      <c r="B1496" s="122">
        <v>14707.64</v>
      </c>
    </row>
    <row r="1497" spans="1:2">
      <c r="A1497" s="121">
        <v>44012</v>
      </c>
      <c r="B1497" s="122">
        <v>14527.18</v>
      </c>
    </row>
    <row r="1498" spans="1:2">
      <c r="A1498" s="121">
        <v>44011</v>
      </c>
      <c r="B1498" s="122">
        <v>14541.76</v>
      </c>
    </row>
    <row r="1499" spans="1:2">
      <c r="A1499" s="121">
        <v>44008</v>
      </c>
      <c r="B1499" s="122">
        <v>14641.26</v>
      </c>
    </row>
    <row r="1500" spans="1:2">
      <c r="A1500" s="121">
        <v>44007</v>
      </c>
      <c r="B1500" s="122">
        <v>14508.61</v>
      </c>
    </row>
    <row r="1501" spans="1:2">
      <c r="A1501" s="121">
        <v>44006</v>
      </c>
      <c r="B1501" s="122">
        <v>14531.72</v>
      </c>
    </row>
    <row r="1502" spans="1:2">
      <c r="A1502" s="121">
        <v>44005</v>
      </c>
      <c r="B1502" s="122">
        <v>14765.36</v>
      </c>
    </row>
    <row r="1503" spans="1:2">
      <c r="A1503" s="121">
        <v>44004</v>
      </c>
      <c r="B1503" s="122">
        <v>14540.07</v>
      </c>
    </row>
    <row r="1504" spans="1:2">
      <c r="A1504" s="121">
        <v>44001</v>
      </c>
      <c r="B1504" s="122">
        <v>14445.87</v>
      </c>
    </row>
    <row r="1505" spans="1:2">
      <c r="A1505" s="121">
        <v>44000</v>
      </c>
      <c r="B1505" s="122">
        <v>14227.14</v>
      </c>
    </row>
    <row r="1506" spans="1:2">
      <c r="A1506" s="121">
        <v>43999</v>
      </c>
      <c r="B1506" s="122">
        <v>13930.35</v>
      </c>
    </row>
    <row r="1507" spans="1:2">
      <c r="A1507" s="121">
        <v>43998</v>
      </c>
      <c r="B1507" s="122">
        <v>13976.63</v>
      </c>
    </row>
    <row r="1508" spans="1:2">
      <c r="A1508" s="121">
        <v>43997</v>
      </c>
      <c r="B1508" s="122">
        <v>13835.27</v>
      </c>
    </row>
    <row r="1509" spans="1:2">
      <c r="A1509" s="121">
        <v>43994</v>
      </c>
      <c r="B1509" s="122">
        <v>14059.69</v>
      </c>
    </row>
    <row r="1510" spans="1:2">
      <c r="A1510" s="121">
        <v>43993</v>
      </c>
      <c r="B1510" s="122">
        <v>13959.73</v>
      </c>
    </row>
    <row r="1511" spans="1:2">
      <c r="A1511" s="121">
        <v>43992</v>
      </c>
      <c r="B1511" s="122">
        <v>14260.91</v>
      </c>
    </row>
    <row r="1512" spans="1:2">
      <c r="A1512" s="121">
        <v>43991</v>
      </c>
      <c r="B1512" s="122">
        <v>14162.9</v>
      </c>
    </row>
    <row r="1513" spans="1:2">
      <c r="A1513" s="121">
        <v>43990</v>
      </c>
      <c r="B1513" s="122">
        <v>14333.2</v>
      </c>
    </row>
    <row r="1514" spans="1:2">
      <c r="A1514" s="121">
        <v>43987</v>
      </c>
      <c r="B1514" s="122">
        <v>14297.55</v>
      </c>
    </row>
    <row r="1515" spans="1:2">
      <c r="A1515" s="121">
        <v>43986</v>
      </c>
      <c r="B1515" s="122">
        <v>14138.19</v>
      </c>
    </row>
    <row r="1516" spans="1:2">
      <c r="A1516" s="121">
        <v>43985</v>
      </c>
      <c r="B1516" s="122">
        <v>14183.95</v>
      </c>
    </row>
    <row r="1517" spans="1:2">
      <c r="A1517" s="121">
        <v>43984</v>
      </c>
      <c r="B1517" s="122">
        <v>14065.56</v>
      </c>
    </row>
    <row r="1518" spans="1:2">
      <c r="A1518" s="121">
        <v>43983</v>
      </c>
      <c r="B1518" s="122">
        <v>13850</v>
      </c>
    </row>
    <row r="1519" spans="1:2">
      <c r="A1519" s="121">
        <v>43980</v>
      </c>
      <c r="B1519" s="122">
        <v>13503.45</v>
      </c>
    </row>
    <row r="1520" spans="1:2">
      <c r="A1520" s="121">
        <v>43979</v>
      </c>
      <c r="B1520" s="122">
        <v>13364.65</v>
      </c>
    </row>
    <row r="1521" spans="1:2">
      <c r="A1521" s="121">
        <v>43978</v>
      </c>
      <c r="B1521" s="122">
        <v>13117.99</v>
      </c>
    </row>
    <row r="1522" spans="1:2">
      <c r="A1522" s="121">
        <v>43977</v>
      </c>
      <c r="B1522" s="122">
        <v>12715.39</v>
      </c>
    </row>
    <row r="1523" spans="1:2">
      <c r="A1523" s="121">
        <v>43973</v>
      </c>
      <c r="B1523" s="122">
        <v>12729.74</v>
      </c>
    </row>
    <row r="1524" spans="1:2">
      <c r="A1524" s="121">
        <v>43972</v>
      </c>
      <c r="B1524" s="122">
        <v>12824.12</v>
      </c>
    </row>
    <row r="1525" spans="1:2">
      <c r="A1525" s="121">
        <v>43971</v>
      </c>
      <c r="B1525" s="122">
        <v>12768.2</v>
      </c>
    </row>
    <row r="1526" spans="1:2">
      <c r="A1526" s="121">
        <v>43970</v>
      </c>
      <c r="B1526" s="122">
        <v>12504.22</v>
      </c>
    </row>
    <row r="1527" spans="1:2">
      <c r="A1527" s="121">
        <v>43969</v>
      </c>
      <c r="B1527" s="122">
        <v>12425.57</v>
      </c>
    </row>
    <row r="1528" spans="1:2">
      <c r="A1528" s="121">
        <v>43966</v>
      </c>
      <c r="B1528" s="122">
        <v>12867.16</v>
      </c>
    </row>
    <row r="1529" spans="1:2">
      <c r="A1529" s="121">
        <v>43965</v>
      </c>
      <c r="B1529" s="122">
        <v>12875.51</v>
      </c>
    </row>
    <row r="1530" spans="1:2">
      <c r="A1530" s="121">
        <v>43964</v>
      </c>
      <c r="B1530" s="122">
        <v>13214.58</v>
      </c>
    </row>
    <row r="1531" spans="1:2">
      <c r="A1531" s="121">
        <v>43963</v>
      </c>
      <c r="B1531" s="122">
        <v>12951.29</v>
      </c>
    </row>
    <row r="1532" spans="1:2">
      <c r="A1532" s="121">
        <v>43962</v>
      </c>
      <c r="B1532" s="122">
        <v>13011.35</v>
      </c>
    </row>
    <row r="1533" spans="1:2">
      <c r="A1533" s="121">
        <v>43959</v>
      </c>
      <c r="B1533" s="122">
        <v>13028.62</v>
      </c>
    </row>
    <row r="1534" spans="1:2">
      <c r="A1534" s="121">
        <v>43958</v>
      </c>
      <c r="B1534" s="122">
        <v>12954.81</v>
      </c>
    </row>
    <row r="1535" spans="1:2">
      <c r="A1535" s="121">
        <v>43957</v>
      </c>
      <c r="B1535" s="122">
        <v>13055.99</v>
      </c>
    </row>
    <row r="1536" spans="1:2">
      <c r="A1536" s="121">
        <v>43956</v>
      </c>
      <c r="B1536" s="122">
        <v>12963.99</v>
      </c>
    </row>
    <row r="1537" spans="1:2">
      <c r="A1537" s="121">
        <v>43955</v>
      </c>
      <c r="B1537" s="122">
        <v>13086.63</v>
      </c>
    </row>
    <row r="1538" spans="1:2">
      <c r="A1538" s="121">
        <v>43951</v>
      </c>
      <c r="B1538" s="122">
        <v>13884.18</v>
      </c>
    </row>
    <row r="1539" spans="1:2">
      <c r="A1539" s="121">
        <v>43950</v>
      </c>
      <c r="B1539" s="122">
        <v>13452.51</v>
      </c>
    </row>
    <row r="1540" spans="1:2">
      <c r="A1540" s="121">
        <v>43949</v>
      </c>
      <c r="B1540" s="122">
        <v>13208.29</v>
      </c>
    </row>
    <row r="1541" spans="1:2">
      <c r="A1541" s="121">
        <v>43948</v>
      </c>
      <c r="B1541" s="122">
        <v>13069.49</v>
      </c>
    </row>
    <row r="1542" spans="1:2">
      <c r="A1542" s="121">
        <v>43945</v>
      </c>
      <c r="B1542" s="122">
        <v>12889.39</v>
      </c>
    </row>
    <row r="1543" spans="1:2">
      <c r="A1543" s="121">
        <v>43944</v>
      </c>
      <c r="B1543" s="122">
        <v>13113.97</v>
      </c>
    </row>
    <row r="1544" spans="1:2">
      <c r="A1544" s="121">
        <v>43943</v>
      </c>
      <c r="B1544" s="122">
        <v>12935.73</v>
      </c>
    </row>
    <row r="1545" spans="1:2">
      <c r="A1545" s="121">
        <v>43942</v>
      </c>
      <c r="B1545" s="122">
        <v>12645.91</v>
      </c>
    </row>
    <row r="1546" spans="1:2">
      <c r="A1546" s="121">
        <v>43941</v>
      </c>
      <c r="B1546" s="122">
        <v>13040.65</v>
      </c>
    </row>
    <row r="1547" spans="1:2">
      <c r="A1547" s="121">
        <v>43938</v>
      </c>
      <c r="B1547" s="122">
        <v>13047.57</v>
      </c>
    </row>
    <row r="1548" spans="1:2">
      <c r="A1548" s="121">
        <v>43937</v>
      </c>
      <c r="B1548" s="122">
        <v>12661.83</v>
      </c>
    </row>
    <row r="1549" spans="1:2">
      <c r="A1549" s="121">
        <v>43936</v>
      </c>
      <c r="B1549" s="122">
        <v>12566.85</v>
      </c>
    </row>
    <row r="1550" spans="1:2">
      <c r="A1550" s="121">
        <v>43934</v>
      </c>
      <c r="B1550" s="122">
        <v>12663.31</v>
      </c>
    </row>
    <row r="1551" spans="1:2">
      <c r="A1551" s="121">
        <v>43930</v>
      </c>
      <c r="B1551" s="122">
        <v>12829.57</v>
      </c>
    </row>
    <row r="1552" spans="1:2">
      <c r="A1552" s="121">
        <v>43929</v>
      </c>
      <c r="B1552" s="122">
        <v>12318.25</v>
      </c>
    </row>
    <row r="1553" spans="1:2">
      <c r="A1553" s="121">
        <v>43928</v>
      </c>
      <c r="B1553" s="122">
        <v>12379.42</v>
      </c>
    </row>
    <row r="1554" spans="1:2">
      <c r="A1554" s="121">
        <v>43924</v>
      </c>
      <c r="B1554" s="122">
        <v>11382.02</v>
      </c>
    </row>
    <row r="1555" spans="1:2">
      <c r="A1555" s="121">
        <v>43922</v>
      </c>
      <c r="B1555" s="122">
        <v>11621.35</v>
      </c>
    </row>
    <row r="1556" spans="1:2">
      <c r="A1556" s="121">
        <v>43921</v>
      </c>
      <c r="B1556" s="122">
        <v>12105.66</v>
      </c>
    </row>
    <row r="1557" spans="1:2">
      <c r="A1557" s="121">
        <v>43920</v>
      </c>
      <c r="B1557" s="122">
        <v>11659.76</v>
      </c>
    </row>
    <row r="1558" spans="1:2">
      <c r="A1558" s="121">
        <v>43917</v>
      </c>
      <c r="B1558" s="122">
        <v>12193.62</v>
      </c>
    </row>
    <row r="1559" spans="1:2">
      <c r="A1559" s="121">
        <v>43916</v>
      </c>
      <c r="B1559" s="122">
        <v>12167.15</v>
      </c>
    </row>
    <row r="1560" spans="1:2">
      <c r="A1560" s="121">
        <v>43915</v>
      </c>
      <c r="B1560" s="122">
        <v>11710.71</v>
      </c>
    </row>
    <row r="1561" spans="1:2">
      <c r="A1561" s="121">
        <v>43914</v>
      </c>
      <c r="B1561" s="122">
        <v>10983.15</v>
      </c>
    </row>
    <row r="1562" spans="1:2">
      <c r="A1562" s="121">
        <v>43913</v>
      </c>
      <c r="B1562" s="122">
        <v>10710.41</v>
      </c>
    </row>
    <row r="1563" spans="1:2">
      <c r="A1563" s="121">
        <v>43910</v>
      </c>
      <c r="B1563" s="122">
        <v>12298.74</v>
      </c>
    </row>
    <row r="1564" spans="1:2">
      <c r="A1564" s="121">
        <v>43909</v>
      </c>
      <c r="B1564" s="122">
        <v>11620.92</v>
      </c>
    </row>
    <row r="1565" spans="1:2">
      <c r="A1565" s="121">
        <v>43908</v>
      </c>
      <c r="B1565" s="122">
        <v>11904.02</v>
      </c>
    </row>
    <row r="1566" spans="1:2">
      <c r="A1566" s="121">
        <v>43907</v>
      </c>
      <c r="B1566" s="122">
        <v>12604.41</v>
      </c>
    </row>
    <row r="1567" spans="1:2">
      <c r="A1567" s="121">
        <v>43906</v>
      </c>
      <c r="B1567" s="122">
        <v>12928.18</v>
      </c>
    </row>
    <row r="1568" spans="1:2">
      <c r="A1568" s="121">
        <v>43903</v>
      </c>
      <c r="B1568" s="122">
        <v>13987.31</v>
      </c>
    </row>
    <row r="1569" spans="1:2">
      <c r="A1569" s="121">
        <v>43902</v>
      </c>
      <c r="B1569" s="122">
        <v>13474.38</v>
      </c>
    </row>
    <row r="1570" spans="1:2">
      <c r="A1570" s="121">
        <v>43901</v>
      </c>
      <c r="B1570" s="122">
        <v>14694.31</v>
      </c>
    </row>
    <row r="1571" spans="1:2">
      <c r="A1571" s="121">
        <v>43899</v>
      </c>
      <c r="B1571" s="122">
        <v>14684.56</v>
      </c>
    </row>
    <row r="1572" spans="1:2">
      <c r="A1572" s="121">
        <v>43896</v>
      </c>
      <c r="B1572" s="122">
        <v>15440.48</v>
      </c>
    </row>
    <row r="1573" spans="1:2">
      <c r="A1573" s="121">
        <v>43895</v>
      </c>
      <c r="B1573" s="122">
        <v>15833.21</v>
      </c>
    </row>
    <row r="1574" spans="1:2">
      <c r="A1574" s="121">
        <v>43894</v>
      </c>
      <c r="B1574" s="122">
        <v>15805.53</v>
      </c>
    </row>
    <row r="1575" spans="1:2">
      <c r="A1575" s="121">
        <v>43893</v>
      </c>
      <c r="B1575" s="122">
        <v>15878.98</v>
      </c>
    </row>
    <row r="1576" spans="1:2">
      <c r="A1576" s="121">
        <v>43892</v>
      </c>
      <c r="B1576" s="122">
        <v>15632.14</v>
      </c>
    </row>
    <row r="1577" spans="1:2">
      <c r="A1577" s="121">
        <v>43889</v>
      </c>
      <c r="B1577" s="122">
        <v>15726.92</v>
      </c>
    </row>
    <row r="1578" spans="1:2">
      <c r="A1578" s="121">
        <v>43888</v>
      </c>
      <c r="B1578" s="122">
        <v>16332.81</v>
      </c>
    </row>
    <row r="1579" spans="1:2">
      <c r="A1579" s="121">
        <v>43887</v>
      </c>
      <c r="B1579" s="122">
        <v>16396.23</v>
      </c>
    </row>
    <row r="1580" spans="1:2">
      <c r="A1580" s="121">
        <v>43886</v>
      </c>
      <c r="B1580" s="122">
        <v>16563.91</v>
      </c>
    </row>
    <row r="1581" spans="1:2">
      <c r="A1581" s="121">
        <v>43885</v>
      </c>
      <c r="B1581" s="122">
        <v>16608.12</v>
      </c>
    </row>
    <row r="1582" spans="1:2">
      <c r="A1582" s="121">
        <v>43881</v>
      </c>
      <c r="B1582" s="122">
        <v>16961.16</v>
      </c>
    </row>
    <row r="1583" spans="1:2">
      <c r="A1583" s="121">
        <v>43880</v>
      </c>
      <c r="B1583" s="122">
        <v>17024.41</v>
      </c>
    </row>
    <row r="1584" spans="1:2">
      <c r="A1584" s="121">
        <v>43879</v>
      </c>
      <c r="B1584" s="122">
        <v>16837.080000000002</v>
      </c>
    </row>
    <row r="1585" spans="1:2">
      <c r="A1585" s="121">
        <v>43878</v>
      </c>
      <c r="B1585" s="122">
        <v>16911.919999999998</v>
      </c>
    </row>
    <row r="1586" spans="1:2">
      <c r="A1586" s="121">
        <v>43875</v>
      </c>
      <c r="B1586" s="122">
        <v>17002.89</v>
      </c>
    </row>
    <row r="1587" spans="1:2">
      <c r="A1587" s="121">
        <v>43874</v>
      </c>
      <c r="B1587" s="122">
        <v>17088.84</v>
      </c>
    </row>
    <row r="1588" spans="1:2">
      <c r="A1588" s="121">
        <v>43873</v>
      </c>
      <c r="B1588" s="122">
        <v>17126.07</v>
      </c>
    </row>
    <row r="1589" spans="1:2">
      <c r="A1589" s="121">
        <v>43872</v>
      </c>
      <c r="B1589" s="122">
        <v>16995.099999999999</v>
      </c>
    </row>
    <row r="1590" spans="1:2">
      <c r="A1590" s="121">
        <v>43871</v>
      </c>
      <c r="B1590" s="122">
        <v>16887.86</v>
      </c>
    </row>
    <row r="1591" spans="1:2">
      <c r="A1591" s="121">
        <v>43868</v>
      </c>
      <c r="B1591" s="122">
        <v>16981.75</v>
      </c>
    </row>
    <row r="1592" spans="1:2">
      <c r="A1592" s="121">
        <v>43867</v>
      </c>
      <c r="B1592" s="122">
        <v>17037.28</v>
      </c>
    </row>
    <row r="1593" spans="1:2">
      <c r="A1593" s="121">
        <v>43866</v>
      </c>
      <c r="B1593" s="122">
        <v>16968.830000000002</v>
      </c>
    </row>
    <row r="1594" spans="1:2">
      <c r="A1594" s="121">
        <v>43865</v>
      </c>
      <c r="B1594" s="122">
        <v>16815.12</v>
      </c>
    </row>
    <row r="1595" spans="1:2">
      <c r="A1595" s="121">
        <v>43864</v>
      </c>
      <c r="B1595" s="122">
        <v>16433.650000000001</v>
      </c>
    </row>
    <row r="1596" spans="1:2">
      <c r="A1596" s="121">
        <v>43862</v>
      </c>
      <c r="B1596" s="122">
        <v>16369</v>
      </c>
    </row>
    <row r="1597" spans="1:2">
      <c r="A1597" s="121">
        <v>43861</v>
      </c>
      <c r="B1597" s="122">
        <v>16790.45</v>
      </c>
    </row>
    <row r="1598" spans="1:2">
      <c r="A1598" s="121">
        <v>43860</v>
      </c>
      <c r="B1598" s="122">
        <v>16893.91</v>
      </c>
    </row>
    <row r="1599" spans="1:2">
      <c r="A1599" s="121">
        <v>43859</v>
      </c>
      <c r="B1599" s="122">
        <v>17025.46</v>
      </c>
    </row>
    <row r="1600" spans="1:2">
      <c r="A1600" s="121">
        <v>43858</v>
      </c>
      <c r="B1600" s="122">
        <v>16922.009999999998</v>
      </c>
    </row>
    <row r="1601" spans="1:2">
      <c r="A1601" s="121">
        <v>43857</v>
      </c>
      <c r="B1601" s="122">
        <v>17010.7</v>
      </c>
    </row>
    <row r="1602" spans="1:2">
      <c r="A1602" s="121">
        <v>43854</v>
      </c>
      <c r="B1602" s="122">
        <v>17192.150000000001</v>
      </c>
    </row>
    <row r="1603" spans="1:2">
      <c r="A1603" s="121">
        <v>43853</v>
      </c>
      <c r="B1603" s="122">
        <v>17095.61</v>
      </c>
    </row>
    <row r="1604" spans="1:2">
      <c r="A1604" s="121">
        <v>43852</v>
      </c>
      <c r="B1604" s="122">
        <v>16990.68</v>
      </c>
    </row>
    <row r="1605" spans="1:2">
      <c r="A1605" s="121">
        <v>43851</v>
      </c>
      <c r="B1605" s="122">
        <v>17079.07</v>
      </c>
    </row>
    <row r="1606" spans="1:2">
      <c r="A1606" s="121">
        <v>43850</v>
      </c>
      <c r="B1606" s="122">
        <v>17155.830000000002</v>
      </c>
    </row>
    <row r="1607" spans="1:2">
      <c r="A1607" s="121">
        <v>43847</v>
      </c>
      <c r="B1607" s="122">
        <v>17335.2</v>
      </c>
    </row>
    <row r="1608" spans="1:2">
      <c r="A1608" s="121">
        <v>43846</v>
      </c>
      <c r="B1608" s="122">
        <v>17339.57</v>
      </c>
    </row>
    <row r="1609" spans="1:2">
      <c r="A1609" s="121">
        <v>43845</v>
      </c>
      <c r="B1609" s="122">
        <v>17322.5</v>
      </c>
    </row>
    <row r="1610" spans="1:2">
      <c r="A1610" s="121">
        <v>43844</v>
      </c>
      <c r="B1610" s="122">
        <v>17349.12</v>
      </c>
    </row>
    <row r="1611" spans="1:2">
      <c r="A1611" s="121">
        <v>43843</v>
      </c>
      <c r="B1611" s="122">
        <v>17303.2</v>
      </c>
    </row>
    <row r="1612" spans="1:2">
      <c r="A1612" s="121">
        <v>43840</v>
      </c>
      <c r="B1612" s="122">
        <v>17201.080000000002</v>
      </c>
    </row>
    <row r="1613" spans="1:2">
      <c r="A1613" s="121">
        <v>43839</v>
      </c>
      <c r="B1613" s="122">
        <v>17143.650000000001</v>
      </c>
    </row>
    <row r="1614" spans="1:2">
      <c r="A1614" s="121">
        <v>43838</v>
      </c>
      <c r="B1614" s="122">
        <v>16876.240000000002</v>
      </c>
    </row>
    <row r="1615" spans="1:2">
      <c r="A1615" s="121">
        <v>43837</v>
      </c>
      <c r="B1615" s="122">
        <v>16915.03</v>
      </c>
    </row>
    <row r="1616" spans="1:2">
      <c r="A1616" s="121">
        <v>43836</v>
      </c>
      <c r="B1616" s="122">
        <v>16830.93</v>
      </c>
    </row>
    <row r="1617" spans="1:2">
      <c r="A1617" s="121">
        <v>43833</v>
      </c>
      <c r="B1617" s="122">
        <v>17158.75</v>
      </c>
    </row>
    <row r="1618" spans="1:2">
      <c r="A1618" s="121">
        <v>43832</v>
      </c>
      <c r="B1618" s="122">
        <v>17236.7</v>
      </c>
    </row>
    <row r="1619" spans="1:2">
      <c r="A1619" s="121">
        <v>43831</v>
      </c>
      <c r="B1619" s="122">
        <v>17096.830000000002</v>
      </c>
    </row>
    <row r="1620" spans="1:2">
      <c r="A1620" s="121">
        <v>43830</v>
      </c>
      <c r="B1620" s="122">
        <v>17077.060000000001</v>
      </c>
    </row>
    <row r="1621" spans="1:2">
      <c r="A1621" s="121">
        <v>43829</v>
      </c>
      <c r="B1621" s="122">
        <v>17199.73</v>
      </c>
    </row>
    <row r="1622" spans="1:2">
      <c r="A1622" s="121">
        <v>43826</v>
      </c>
      <c r="B1622" s="122">
        <v>17185.66</v>
      </c>
    </row>
    <row r="1623" spans="1:2">
      <c r="A1623" s="121">
        <v>43825</v>
      </c>
      <c r="B1623" s="122">
        <v>17018.259999999998</v>
      </c>
    </row>
    <row r="1624" spans="1:2">
      <c r="A1624" s="121">
        <v>43823</v>
      </c>
      <c r="B1624" s="122">
        <v>17141.8</v>
      </c>
    </row>
    <row r="1625" spans="1:2">
      <c r="A1625" s="121">
        <v>43822</v>
      </c>
      <c r="B1625" s="122">
        <v>17209.400000000001</v>
      </c>
    </row>
    <row r="1626" spans="1:2">
      <c r="A1626" s="121">
        <v>43819</v>
      </c>
      <c r="B1626" s="122">
        <v>17222.14</v>
      </c>
    </row>
    <row r="1627" spans="1:2">
      <c r="A1627" s="121">
        <v>43818</v>
      </c>
      <c r="B1627" s="122">
        <v>17205.12</v>
      </c>
    </row>
    <row r="1628" spans="1:2">
      <c r="A1628" s="121">
        <v>43817</v>
      </c>
      <c r="B1628" s="122">
        <v>17150.93</v>
      </c>
    </row>
    <row r="1629" spans="1:2">
      <c r="A1629" s="121">
        <v>43816</v>
      </c>
      <c r="B1629" s="122">
        <v>17071.490000000002</v>
      </c>
    </row>
    <row r="1630" spans="1:2">
      <c r="A1630" s="121">
        <v>43815</v>
      </c>
      <c r="B1630" s="122">
        <v>16915.650000000001</v>
      </c>
    </row>
    <row r="1631" spans="1:2">
      <c r="A1631" s="121">
        <v>43812</v>
      </c>
      <c r="B1631" s="122">
        <v>16961.560000000001</v>
      </c>
    </row>
    <row r="1632" spans="1:2">
      <c r="A1632" s="121">
        <v>43811</v>
      </c>
      <c r="B1632" s="122">
        <v>16800.36</v>
      </c>
    </row>
    <row r="1633" spans="1:2">
      <c r="A1633" s="121">
        <v>43810</v>
      </c>
      <c r="B1633" s="122">
        <v>16713.79</v>
      </c>
    </row>
    <row r="1634" spans="1:2">
      <c r="A1634" s="121">
        <v>43809</v>
      </c>
      <c r="B1634" s="122">
        <v>16638.939999999999</v>
      </c>
    </row>
    <row r="1635" spans="1:2">
      <c r="A1635" s="121">
        <v>43808</v>
      </c>
      <c r="B1635" s="122">
        <v>16751.53</v>
      </c>
    </row>
    <row r="1636" spans="1:2">
      <c r="A1636" s="121">
        <v>43805</v>
      </c>
      <c r="B1636" s="122">
        <v>16729.080000000002</v>
      </c>
    </row>
    <row r="1637" spans="1:2">
      <c r="A1637" s="121">
        <v>43804</v>
      </c>
      <c r="B1637" s="122">
        <v>16865.04</v>
      </c>
    </row>
    <row r="1638" spans="1:2">
      <c r="A1638" s="121">
        <v>43803</v>
      </c>
      <c r="B1638" s="122">
        <v>16899.88</v>
      </c>
    </row>
    <row r="1639" spans="1:2">
      <c r="A1639" s="121">
        <v>43802</v>
      </c>
      <c r="B1639" s="122">
        <v>16831.11</v>
      </c>
    </row>
    <row r="1640" spans="1:2">
      <c r="A1640" s="121">
        <v>43801</v>
      </c>
      <c r="B1640" s="122">
        <v>16906.88</v>
      </c>
    </row>
    <row r="1641" spans="1:2">
      <c r="A1641" s="121">
        <v>43798</v>
      </c>
      <c r="B1641" s="122">
        <v>16917.89</v>
      </c>
    </row>
    <row r="1642" spans="1:2">
      <c r="A1642" s="121">
        <v>43797</v>
      </c>
      <c r="B1642" s="122">
        <v>17051.310000000001</v>
      </c>
    </row>
    <row r="1643" spans="1:2">
      <c r="A1643" s="121">
        <v>43796</v>
      </c>
      <c r="B1643" s="122">
        <v>16980.54</v>
      </c>
    </row>
    <row r="1644" spans="1:2">
      <c r="A1644" s="121">
        <v>43795</v>
      </c>
      <c r="B1644" s="122">
        <v>16892.150000000001</v>
      </c>
    </row>
    <row r="1645" spans="1:2">
      <c r="A1645" s="121">
        <v>43794</v>
      </c>
      <c r="B1645" s="122">
        <v>16942.7</v>
      </c>
    </row>
    <row r="1646" spans="1:2">
      <c r="A1646" s="121">
        <v>43791</v>
      </c>
      <c r="B1646" s="122">
        <v>16719.11</v>
      </c>
    </row>
    <row r="1647" spans="1:2">
      <c r="A1647" s="121">
        <v>43790</v>
      </c>
      <c r="B1647" s="122">
        <v>16794.86</v>
      </c>
    </row>
    <row r="1648" spans="1:2">
      <c r="A1648" s="121">
        <v>43789</v>
      </c>
      <c r="B1648" s="122">
        <v>16837.96</v>
      </c>
    </row>
    <row r="1649" spans="1:2">
      <c r="A1649" s="121">
        <v>43788</v>
      </c>
      <c r="B1649" s="122">
        <v>16755.150000000001</v>
      </c>
    </row>
    <row r="1650" spans="1:2">
      <c r="A1650" s="121">
        <v>43787</v>
      </c>
      <c r="B1650" s="122">
        <v>16677.14</v>
      </c>
    </row>
    <row r="1651" spans="1:2">
      <c r="A1651" s="121">
        <v>43784</v>
      </c>
      <c r="B1651" s="122">
        <v>16692.52</v>
      </c>
    </row>
    <row r="1652" spans="1:2">
      <c r="A1652" s="121">
        <v>43783</v>
      </c>
      <c r="B1652" s="122">
        <v>16659.78</v>
      </c>
    </row>
    <row r="1653" spans="1:2">
      <c r="A1653" s="121">
        <v>43782</v>
      </c>
      <c r="B1653" s="122">
        <v>16615.37</v>
      </c>
    </row>
    <row r="1654" spans="1:2">
      <c r="A1654" s="121">
        <v>43780</v>
      </c>
      <c r="B1654" s="122">
        <v>16717.75</v>
      </c>
    </row>
    <row r="1655" spans="1:2">
      <c r="A1655" s="121">
        <v>43777</v>
      </c>
      <c r="B1655" s="122">
        <v>16710.37</v>
      </c>
    </row>
    <row r="1656" spans="1:2">
      <c r="A1656" s="121">
        <v>43776</v>
      </c>
      <c r="B1656" s="122">
        <v>16856.169999999998</v>
      </c>
    </row>
    <row r="1657" spans="1:2">
      <c r="A1657" s="121">
        <v>43775</v>
      </c>
      <c r="B1657" s="122">
        <v>16791.61</v>
      </c>
    </row>
    <row r="1658" spans="1:2">
      <c r="A1658" s="121">
        <v>43774</v>
      </c>
      <c r="B1658" s="122">
        <v>16723.060000000001</v>
      </c>
    </row>
    <row r="1659" spans="1:2">
      <c r="A1659" s="121">
        <v>43773</v>
      </c>
      <c r="B1659" s="122">
        <v>16756.87</v>
      </c>
    </row>
    <row r="1660" spans="1:2">
      <c r="A1660" s="121">
        <v>43770</v>
      </c>
      <c r="B1660" s="122">
        <v>16685.73</v>
      </c>
    </row>
    <row r="1661" spans="1:2">
      <c r="A1661" s="121">
        <v>43769</v>
      </c>
      <c r="B1661" s="122">
        <v>16667.29</v>
      </c>
    </row>
    <row r="1662" spans="1:2">
      <c r="A1662" s="121">
        <v>43768</v>
      </c>
      <c r="B1662" s="122">
        <v>16620.07</v>
      </c>
    </row>
    <row r="1663" spans="1:2">
      <c r="A1663" s="121">
        <v>43767</v>
      </c>
      <c r="B1663" s="122">
        <v>16539.23</v>
      </c>
    </row>
    <row r="1664" spans="1:2">
      <c r="A1664" s="121">
        <v>43765</v>
      </c>
      <c r="B1664" s="122">
        <v>16315.17</v>
      </c>
    </row>
    <row r="1665" spans="1:2">
      <c r="A1665" s="121">
        <v>43763</v>
      </c>
      <c r="B1665" s="122">
        <v>16254.45</v>
      </c>
    </row>
    <row r="1666" spans="1:2">
      <c r="A1666" s="121">
        <v>43762</v>
      </c>
      <c r="B1666" s="122">
        <v>16252.63</v>
      </c>
    </row>
    <row r="1667" spans="1:2">
      <c r="A1667" s="121">
        <v>43761</v>
      </c>
      <c r="B1667" s="122">
        <v>16282.84</v>
      </c>
    </row>
    <row r="1668" spans="1:2">
      <c r="A1668" s="121">
        <v>43760</v>
      </c>
      <c r="B1668" s="122">
        <v>16248.11</v>
      </c>
    </row>
    <row r="1669" spans="1:2">
      <c r="A1669" s="121">
        <v>43756</v>
      </c>
      <c r="B1669" s="122">
        <v>16351.16</v>
      </c>
    </row>
    <row r="1670" spans="1:2">
      <c r="A1670" s="121">
        <v>43755</v>
      </c>
      <c r="B1670" s="122">
        <v>16245.31</v>
      </c>
    </row>
    <row r="1671" spans="1:2">
      <c r="A1671" s="121">
        <v>43754</v>
      </c>
      <c r="B1671" s="122">
        <v>16057.85</v>
      </c>
    </row>
    <row r="1672" spans="1:2">
      <c r="A1672" s="121">
        <v>43753</v>
      </c>
      <c r="B1672" s="122">
        <v>16007.83</v>
      </c>
    </row>
    <row r="1673" spans="1:2">
      <c r="A1673" s="121">
        <v>43752</v>
      </c>
      <c r="B1673" s="122">
        <v>15885.74</v>
      </c>
    </row>
    <row r="1674" spans="1:2">
      <c r="A1674" s="121">
        <v>43749</v>
      </c>
      <c r="B1674" s="122">
        <v>15835.17</v>
      </c>
    </row>
    <row r="1675" spans="1:2">
      <c r="A1675" s="121">
        <v>43748</v>
      </c>
      <c r="B1675" s="122">
        <v>15736.44</v>
      </c>
    </row>
    <row r="1676" spans="1:2">
      <c r="A1676" s="121">
        <v>43747</v>
      </c>
      <c r="B1676" s="122">
        <v>15846.77</v>
      </c>
    </row>
    <row r="1677" spans="1:2">
      <c r="A1677" s="121">
        <v>43745</v>
      </c>
      <c r="B1677" s="122">
        <v>15584.94</v>
      </c>
    </row>
    <row r="1678" spans="1:2">
      <c r="A1678" s="121">
        <v>43742</v>
      </c>
      <c r="B1678" s="122">
        <v>15652.7</v>
      </c>
    </row>
    <row r="1679" spans="1:2">
      <c r="A1679" s="121">
        <v>43741</v>
      </c>
      <c r="B1679" s="122">
        <v>15847.7</v>
      </c>
    </row>
    <row r="1680" spans="1:2">
      <c r="A1680" s="121">
        <v>43739</v>
      </c>
      <c r="B1680" s="122">
        <v>15912.03</v>
      </c>
    </row>
    <row r="1681" spans="1:2">
      <c r="A1681" s="121">
        <v>43738</v>
      </c>
      <c r="B1681" s="122">
        <v>16072.5</v>
      </c>
    </row>
    <row r="1682" spans="1:2">
      <c r="A1682" s="121">
        <v>43735</v>
      </c>
      <c r="B1682" s="122">
        <v>16125.65</v>
      </c>
    </row>
    <row r="1683" spans="1:2">
      <c r="A1683" s="121">
        <v>43734</v>
      </c>
      <c r="B1683" s="122">
        <v>16207.96</v>
      </c>
    </row>
    <row r="1684" spans="1:2">
      <c r="A1684" s="121">
        <v>43733</v>
      </c>
      <c r="B1684" s="122">
        <v>16024.49</v>
      </c>
    </row>
    <row r="1685" spans="1:2">
      <c r="A1685" s="121">
        <v>43732</v>
      </c>
      <c r="B1685" s="122">
        <v>16231.83</v>
      </c>
    </row>
    <row r="1686" spans="1:2">
      <c r="A1686" s="121">
        <v>43731</v>
      </c>
      <c r="B1686" s="122">
        <v>16248.62</v>
      </c>
    </row>
    <row r="1687" spans="1:2">
      <c r="A1687" s="121">
        <v>43728</v>
      </c>
      <c r="B1687" s="122">
        <v>15791.99</v>
      </c>
    </row>
    <row r="1688" spans="1:2">
      <c r="A1688" s="121">
        <v>43727</v>
      </c>
      <c r="B1688" s="122">
        <v>14994.39</v>
      </c>
    </row>
    <row r="1689" spans="1:2">
      <c r="A1689" s="121">
        <v>43726</v>
      </c>
      <c r="B1689" s="122">
        <v>15184.69</v>
      </c>
    </row>
    <row r="1690" spans="1:2">
      <c r="A1690" s="121">
        <v>43725</v>
      </c>
      <c r="B1690" s="122">
        <v>15152.39</v>
      </c>
    </row>
    <row r="1691" spans="1:2">
      <c r="A1691" s="121">
        <v>43724</v>
      </c>
      <c r="B1691" s="122">
        <v>15412.83</v>
      </c>
    </row>
    <row r="1692" spans="1:2">
      <c r="A1692" s="121">
        <v>43721</v>
      </c>
      <c r="B1692" s="122">
        <v>15514.2</v>
      </c>
    </row>
    <row r="1693" spans="1:2">
      <c r="A1693" s="121">
        <v>43720</v>
      </c>
      <c r="B1693" s="122">
        <v>15383.82</v>
      </c>
    </row>
    <row r="1694" spans="1:2">
      <c r="A1694" s="121">
        <v>43719</v>
      </c>
      <c r="B1694" s="122">
        <v>15457.9</v>
      </c>
    </row>
    <row r="1695" spans="1:2">
      <c r="A1695" s="121">
        <v>43717</v>
      </c>
      <c r="B1695" s="122">
        <v>15412.14</v>
      </c>
    </row>
    <row r="1696" spans="1:2">
      <c r="A1696" s="121">
        <v>43714</v>
      </c>
      <c r="B1696" s="122">
        <v>15332.57</v>
      </c>
    </row>
    <row r="1697" spans="1:2">
      <c r="A1697" s="121">
        <v>43713</v>
      </c>
      <c r="B1697" s="122">
        <v>15194.86</v>
      </c>
    </row>
    <row r="1698" spans="1:2">
      <c r="A1698" s="121">
        <v>43712</v>
      </c>
      <c r="B1698" s="122">
        <v>15190.3</v>
      </c>
    </row>
    <row r="1699" spans="1:2">
      <c r="A1699" s="121">
        <v>43711</v>
      </c>
      <c r="B1699" s="122">
        <v>15124.8</v>
      </c>
    </row>
    <row r="1700" spans="1:2">
      <c r="A1700" s="121">
        <v>43707</v>
      </c>
      <c r="B1700" s="122">
        <v>15440.47</v>
      </c>
    </row>
    <row r="1701" spans="1:2">
      <c r="A1701" s="121">
        <v>43706</v>
      </c>
      <c r="B1701" s="122">
        <v>15335.45</v>
      </c>
    </row>
    <row r="1702" spans="1:2">
      <c r="A1702" s="121">
        <v>43705</v>
      </c>
      <c r="B1702" s="122">
        <v>15472.44</v>
      </c>
    </row>
    <row r="1703" spans="1:2">
      <c r="A1703" s="121">
        <v>43704</v>
      </c>
      <c r="B1703" s="122">
        <v>15555.44</v>
      </c>
    </row>
    <row r="1704" spans="1:2">
      <c r="A1704" s="121">
        <v>43703</v>
      </c>
      <c r="B1704" s="122">
        <v>15488.96</v>
      </c>
    </row>
    <row r="1705" spans="1:2">
      <c r="A1705" s="121">
        <v>43700</v>
      </c>
      <c r="B1705" s="122">
        <v>15168.88</v>
      </c>
    </row>
    <row r="1706" spans="1:2">
      <c r="A1706" s="121">
        <v>43699</v>
      </c>
      <c r="B1706" s="122">
        <v>15045.62</v>
      </c>
    </row>
    <row r="1707" spans="1:2">
      <c r="A1707" s="121">
        <v>43698</v>
      </c>
      <c r="B1707" s="122">
        <v>15290.85</v>
      </c>
    </row>
    <row r="1708" spans="1:2">
      <c r="A1708" s="121">
        <v>43697</v>
      </c>
      <c r="B1708" s="122">
        <v>15425.45</v>
      </c>
    </row>
    <row r="1709" spans="1:2">
      <c r="A1709" s="121">
        <v>43696</v>
      </c>
      <c r="B1709" s="122">
        <v>15476.07</v>
      </c>
    </row>
    <row r="1710" spans="1:2">
      <c r="A1710" s="121">
        <v>43693</v>
      </c>
      <c r="B1710" s="122">
        <v>15464.58</v>
      </c>
    </row>
    <row r="1711" spans="1:2">
      <c r="A1711" s="121">
        <v>43691</v>
      </c>
      <c r="B1711" s="122">
        <v>15438.86</v>
      </c>
    </row>
    <row r="1712" spans="1:2">
      <c r="A1712" s="121">
        <v>43690</v>
      </c>
      <c r="B1712" s="122">
        <v>15289.35</v>
      </c>
    </row>
    <row r="1713" spans="1:2">
      <c r="A1713" s="121">
        <v>43686</v>
      </c>
      <c r="B1713" s="122">
        <v>15542.72</v>
      </c>
    </row>
    <row r="1714" spans="1:2">
      <c r="A1714" s="121">
        <v>43685</v>
      </c>
      <c r="B1714" s="122">
        <v>15434.73</v>
      </c>
    </row>
    <row r="1715" spans="1:2">
      <c r="A1715" s="121">
        <v>43684</v>
      </c>
      <c r="B1715" s="122">
        <v>15184.34</v>
      </c>
    </row>
    <row r="1716" spans="1:2">
      <c r="A1716" s="121">
        <v>43683</v>
      </c>
      <c r="B1716" s="122">
        <v>15314.03</v>
      </c>
    </row>
    <row r="1717" spans="1:2">
      <c r="A1717" s="121">
        <v>43682</v>
      </c>
      <c r="B1717" s="122">
        <v>15194.27</v>
      </c>
    </row>
    <row r="1718" spans="1:2">
      <c r="A1718" s="121">
        <v>43679</v>
      </c>
      <c r="B1718" s="122">
        <v>15382.73</v>
      </c>
    </row>
    <row r="1719" spans="1:2">
      <c r="A1719" s="121">
        <v>43678</v>
      </c>
      <c r="B1719" s="122">
        <v>15350.83</v>
      </c>
    </row>
    <row r="1720" spans="1:2">
      <c r="A1720" s="121">
        <v>43677</v>
      </c>
      <c r="B1720" s="122">
        <v>15539.43</v>
      </c>
    </row>
    <row r="1721" spans="1:2">
      <c r="A1721" s="121">
        <v>43676</v>
      </c>
      <c r="B1721" s="122">
        <v>15493.33</v>
      </c>
    </row>
    <row r="1722" spans="1:2">
      <c r="A1722" s="121">
        <v>43675</v>
      </c>
      <c r="B1722" s="122">
        <v>15638.42</v>
      </c>
    </row>
    <row r="1723" spans="1:2">
      <c r="A1723" s="121">
        <v>43672</v>
      </c>
      <c r="B1723" s="122">
        <v>15770.63</v>
      </c>
    </row>
    <row r="1724" spans="1:2">
      <c r="A1724" s="121">
        <v>43671</v>
      </c>
      <c r="B1724" s="122">
        <v>15725.6</v>
      </c>
    </row>
    <row r="1725" spans="1:2">
      <c r="A1725" s="121">
        <v>43670</v>
      </c>
      <c r="B1725" s="122">
        <v>15749.37</v>
      </c>
    </row>
    <row r="1726" spans="1:2">
      <c r="A1726" s="121">
        <v>43669</v>
      </c>
      <c r="B1726" s="122">
        <v>15824.55</v>
      </c>
    </row>
    <row r="1727" spans="1:2">
      <c r="A1727" s="121">
        <v>43668</v>
      </c>
      <c r="B1727" s="122">
        <v>15845.74</v>
      </c>
    </row>
    <row r="1728" spans="1:2">
      <c r="A1728" s="121">
        <v>43665</v>
      </c>
      <c r="B1728" s="122">
        <v>15945.55</v>
      </c>
    </row>
    <row r="1729" spans="1:2">
      <c r="A1729" s="121">
        <v>43664</v>
      </c>
      <c r="B1729" s="122">
        <v>16183.16</v>
      </c>
    </row>
    <row r="1730" spans="1:2">
      <c r="A1730" s="121">
        <v>43663</v>
      </c>
      <c r="B1730" s="122">
        <v>16306.82</v>
      </c>
    </row>
    <row r="1731" spans="1:2">
      <c r="A1731" s="121">
        <v>43662</v>
      </c>
      <c r="B1731" s="122">
        <v>16272.08</v>
      </c>
    </row>
    <row r="1732" spans="1:2">
      <c r="A1732" s="121">
        <v>43661</v>
      </c>
      <c r="B1732" s="122">
        <v>16165.28</v>
      </c>
    </row>
    <row r="1733" spans="1:2">
      <c r="A1733" s="121">
        <v>43658</v>
      </c>
      <c r="B1733" s="122">
        <v>16113.75</v>
      </c>
    </row>
    <row r="1734" spans="1:2">
      <c r="A1734" s="121">
        <v>43657</v>
      </c>
      <c r="B1734" s="122">
        <v>16155.78</v>
      </c>
    </row>
    <row r="1735" spans="1:2">
      <c r="A1735" s="121">
        <v>43656</v>
      </c>
      <c r="B1735" s="122">
        <v>16035.44</v>
      </c>
    </row>
    <row r="1736" spans="1:2">
      <c r="A1736" s="121">
        <v>43655</v>
      </c>
      <c r="B1736" s="122">
        <v>16114.46</v>
      </c>
    </row>
    <row r="1737" spans="1:2">
      <c r="A1737" s="121">
        <v>43654</v>
      </c>
      <c r="B1737" s="122">
        <v>16118.27</v>
      </c>
    </row>
    <row r="1738" spans="1:2">
      <c r="A1738" s="121">
        <v>43651</v>
      </c>
      <c r="B1738" s="122">
        <v>16468.990000000002</v>
      </c>
    </row>
    <row r="1739" spans="1:2">
      <c r="A1739" s="121">
        <v>43650</v>
      </c>
      <c r="B1739" s="122">
        <v>16658.04</v>
      </c>
    </row>
    <row r="1740" spans="1:2">
      <c r="A1740" s="121">
        <v>43649</v>
      </c>
      <c r="B1740" s="122">
        <v>16612.16</v>
      </c>
    </row>
    <row r="1741" spans="1:2">
      <c r="A1741" s="121">
        <v>43648</v>
      </c>
      <c r="B1741" s="122">
        <v>16603.169999999998</v>
      </c>
    </row>
    <row r="1742" spans="1:2">
      <c r="A1742" s="121">
        <v>43647</v>
      </c>
      <c r="B1742" s="122">
        <v>16540.88</v>
      </c>
    </row>
    <row r="1743" spans="1:2">
      <c r="A1743" s="121">
        <v>43644</v>
      </c>
      <c r="B1743" s="122">
        <v>16433.849999999999</v>
      </c>
    </row>
    <row r="1744" spans="1:2">
      <c r="A1744" s="121">
        <v>43643</v>
      </c>
      <c r="B1744" s="122">
        <v>16507.34</v>
      </c>
    </row>
    <row r="1745" spans="1:2">
      <c r="A1745" s="121">
        <v>43642</v>
      </c>
      <c r="B1745" s="122">
        <v>16515.68</v>
      </c>
    </row>
    <row r="1746" spans="1:2">
      <c r="A1746" s="121">
        <v>43641</v>
      </c>
      <c r="B1746" s="122">
        <v>16444.46</v>
      </c>
    </row>
    <row r="1747" spans="1:2">
      <c r="A1747" s="121">
        <v>43640</v>
      </c>
      <c r="B1747" s="122">
        <v>16309.52</v>
      </c>
    </row>
    <row r="1748" spans="1:2">
      <c r="A1748" s="121">
        <v>43637</v>
      </c>
      <c r="B1748" s="122">
        <v>16343.59</v>
      </c>
    </row>
    <row r="1749" spans="1:2">
      <c r="A1749" s="121">
        <v>43636</v>
      </c>
      <c r="B1749" s="122">
        <v>16493.650000000001</v>
      </c>
    </row>
    <row r="1750" spans="1:2">
      <c r="A1750" s="121">
        <v>43635</v>
      </c>
      <c r="B1750" s="122">
        <v>16283.94</v>
      </c>
    </row>
    <row r="1751" spans="1:2">
      <c r="A1751" s="121">
        <v>43634</v>
      </c>
      <c r="B1751" s="122">
        <v>16283.98</v>
      </c>
    </row>
    <row r="1752" spans="1:2">
      <c r="A1752" s="121">
        <v>43633</v>
      </c>
      <c r="B1752" s="122">
        <v>16257.06</v>
      </c>
    </row>
    <row r="1753" spans="1:2">
      <c r="A1753" s="121">
        <v>43630</v>
      </c>
      <c r="B1753" s="122">
        <v>16467.55</v>
      </c>
    </row>
    <row r="1754" spans="1:2">
      <c r="A1754" s="121">
        <v>43629</v>
      </c>
      <c r="B1754" s="122">
        <v>16593.97</v>
      </c>
    </row>
    <row r="1755" spans="1:2">
      <c r="A1755" s="121">
        <v>43628</v>
      </c>
      <c r="B1755" s="122">
        <v>16568.09</v>
      </c>
    </row>
    <row r="1756" spans="1:2">
      <c r="A1756" s="121">
        <v>43627</v>
      </c>
      <c r="B1756" s="122">
        <v>16650.75</v>
      </c>
    </row>
    <row r="1757" spans="1:2">
      <c r="A1757" s="121">
        <v>43626</v>
      </c>
      <c r="B1757" s="122">
        <v>16590.990000000002</v>
      </c>
    </row>
    <row r="1758" spans="1:2">
      <c r="A1758" s="121">
        <v>43623</v>
      </c>
      <c r="B1758" s="122">
        <v>16518.62</v>
      </c>
    </row>
    <row r="1759" spans="1:2">
      <c r="A1759" s="121">
        <v>43622</v>
      </c>
      <c r="B1759" s="122">
        <v>16481.14</v>
      </c>
    </row>
    <row r="1760" spans="1:2">
      <c r="A1760" s="121">
        <v>43620</v>
      </c>
      <c r="B1760" s="122">
        <v>16728.740000000002</v>
      </c>
    </row>
    <row r="1761" spans="1:2">
      <c r="A1761" s="121">
        <v>43619</v>
      </c>
      <c r="B1761" s="122">
        <v>16815.25</v>
      </c>
    </row>
    <row r="1762" spans="1:2">
      <c r="A1762" s="121">
        <v>43616</v>
      </c>
      <c r="B1762" s="122">
        <v>16583.46</v>
      </c>
    </row>
    <row r="1763" spans="1:2">
      <c r="A1763" s="121">
        <v>43615</v>
      </c>
      <c r="B1763" s="122">
        <v>16615.59</v>
      </c>
    </row>
    <row r="1764" spans="1:2">
      <c r="A1764" s="121">
        <v>43614</v>
      </c>
      <c r="B1764" s="122">
        <v>16497.62</v>
      </c>
    </row>
    <row r="1765" spans="1:2">
      <c r="A1765" s="121">
        <v>43613</v>
      </c>
      <c r="B1765" s="122">
        <v>16591.7</v>
      </c>
    </row>
    <row r="1766" spans="1:2">
      <c r="A1766" s="121">
        <v>43612</v>
      </c>
      <c r="B1766" s="122">
        <v>16585.13</v>
      </c>
    </row>
    <row r="1767" spans="1:2">
      <c r="A1767" s="121">
        <v>43609</v>
      </c>
      <c r="B1767" s="122">
        <v>16472.95</v>
      </c>
    </row>
    <row r="1768" spans="1:2">
      <c r="A1768" s="121">
        <v>43608</v>
      </c>
      <c r="B1768" s="122">
        <v>16212.78</v>
      </c>
    </row>
    <row r="1769" spans="1:2">
      <c r="A1769" s="121">
        <v>43607</v>
      </c>
      <c r="B1769" s="122">
        <v>16325.28</v>
      </c>
    </row>
    <row r="1770" spans="1:2">
      <c r="A1770" s="121">
        <v>43606</v>
      </c>
      <c r="B1770" s="122">
        <v>16268.26</v>
      </c>
    </row>
    <row r="1771" spans="1:2">
      <c r="A1771" s="121">
        <v>43605</v>
      </c>
      <c r="B1771" s="122">
        <v>16433.77</v>
      </c>
    </row>
    <row r="1772" spans="1:2">
      <c r="A1772" s="121">
        <v>43602</v>
      </c>
      <c r="B1772" s="122">
        <v>15848.71</v>
      </c>
    </row>
    <row r="1773" spans="1:2">
      <c r="A1773" s="121">
        <v>43601</v>
      </c>
      <c r="B1773" s="122">
        <v>15640.22</v>
      </c>
    </row>
    <row r="1774" spans="1:2">
      <c r="A1774" s="121">
        <v>43600</v>
      </c>
      <c r="B1774" s="122">
        <v>15500.82</v>
      </c>
    </row>
    <row r="1775" spans="1:2">
      <c r="A1775" s="121">
        <v>43599</v>
      </c>
      <c r="B1775" s="122">
        <v>15591.19</v>
      </c>
    </row>
    <row r="1776" spans="1:2">
      <c r="A1776" s="121">
        <v>43598</v>
      </c>
      <c r="B1776" s="122">
        <v>15488.6</v>
      </c>
    </row>
    <row r="1777" spans="1:2">
      <c r="A1777" s="121">
        <v>43595</v>
      </c>
      <c r="B1777" s="122">
        <v>15670.18</v>
      </c>
    </row>
    <row r="1778" spans="1:2">
      <c r="A1778" s="121">
        <v>43594</v>
      </c>
      <c r="B1778" s="122">
        <v>15701.95</v>
      </c>
    </row>
    <row r="1779" spans="1:2">
      <c r="A1779" s="121">
        <v>43593</v>
      </c>
      <c r="B1779" s="122">
        <v>15782.09</v>
      </c>
    </row>
    <row r="1780" spans="1:2">
      <c r="A1780" s="121">
        <v>43592</v>
      </c>
      <c r="B1780" s="122">
        <v>15974.41</v>
      </c>
    </row>
    <row r="1781" spans="1:2">
      <c r="A1781" s="121">
        <v>43591</v>
      </c>
      <c r="B1781" s="122">
        <v>16110.44</v>
      </c>
    </row>
    <row r="1782" spans="1:2">
      <c r="A1782" s="121">
        <v>43588</v>
      </c>
      <c r="B1782" s="122">
        <v>16268.79</v>
      </c>
    </row>
    <row r="1783" spans="1:2">
      <c r="A1783" s="121">
        <v>43587</v>
      </c>
      <c r="B1783" s="122">
        <v>16286.18</v>
      </c>
    </row>
    <row r="1784" spans="1:2">
      <c r="A1784" s="121">
        <v>43585</v>
      </c>
      <c r="B1784" s="122">
        <v>16318.66</v>
      </c>
    </row>
    <row r="1785" spans="1:2">
      <c r="A1785" s="121">
        <v>43581</v>
      </c>
      <c r="B1785" s="122">
        <v>16327.7</v>
      </c>
    </row>
    <row r="1786" spans="1:2">
      <c r="A1786" s="121">
        <v>43580</v>
      </c>
      <c r="B1786" s="122">
        <v>16170.98</v>
      </c>
    </row>
    <row r="1787" spans="1:2">
      <c r="A1787" s="121">
        <v>43579</v>
      </c>
      <c r="B1787" s="122">
        <v>16288.16</v>
      </c>
    </row>
    <row r="1788" spans="1:2">
      <c r="A1788" s="121">
        <v>43578</v>
      </c>
      <c r="B1788" s="122">
        <v>16079.51</v>
      </c>
    </row>
    <row r="1789" spans="1:2">
      <c r="A1789" s="121">
        <v>43577</v>
      </c>
      <c r="B1789" s="122">
        <v>16105.19</v>
      </c>
    </row>
    <row r="1790" spans="1:2">
      <c r="A1790" s="121">
        <v>43573</v>
      </c>
      <c r="B1790" s="122">
        <v>16325.13</v>
      </c>
    </row>
    <row r="1791" spans="1:2">
      <c r="A1791" s="121">
        <v>43571</v>
      </c>
      <c r="B1791" s="122">
        <v>16372.86</v>
      </c>
    </row>
    <row r="1792" spans="1:2">
      <c r="A1792" s="121">
        <v>43570</v>
      </c>
      <c r="B1792" s="122">
        <v>16238.41</v>
      </c>
    </row>
    <row r="1793" spans="1:2">
      <c r="A1793" s="121">
        <v>43567</v>
      </c>
      <c r="B1793" s="122">
        <v>16173.27</v>
      </c>
    </row>
    <row r="1794" spans="1:2">
      <c r="A1794" s="121">
        <v>43566</v>
      </c>
      <c r="B1794" s="122">
        <v>16108.32</v>
      </c>
    </row>
    <row r="1795" spans="1:2">
      <c r="A1795" s="121">
        <v>43565</v>
      </c>
      <c r="B1795" s="122">
        <v>16091.08</v>
      </c>
    </row>
    <row r="1796" spans="1:2">
      <c r="A1796" s="121">
        <v>43564</v>
      </c>
      <c r="B1796" s="122">
        <v>16212.81</v>
      </c>
    </row>
    <row r="1797" spans="1:2">
      <c r="A1797" s="121">
        <v>43563</v>
      </c>
      <c r="B1797" s="122">
        <v>16119.14</v>
      </c>
    </row>
    <row r="1798" spans="1:2">
      <c r="A1798" s="121">
        <v>43560</v>
      </c>
      <c r="B1798" s="122">
        <v>16204.48</v>
      </c>
    </row>
    <row r="1799" spans="1:2">
      <c r="A1799" s="121">
        <v>43559</v>
      </c>
      <c r="B1799" s="122">
        <v>16110.09</v>
      </c>
    </row>
    <row r="1800" spans="1:2">
      <c r="A1800" s="121">
        <v>43558</v>
      </c>
      <c r="B1800" s="122">
        <v>16173.92</v>
      </c>
    </row>
    <row r="1801" spans="1:2">
      <c r="A1801" s="121">
        <v>43557</v>
      </c>
      <c r="B1801" s="122">
        <v>16270.13</v>
      </c>
    </row>
    <row r="1802" spans="1:2">
      <c r="A1802" s="121">
        <v>43556</v>
      </c>
      <c r="B1802" s="122">
        <v>16208.94</v>
      </c>
    </row>
    <row r="1803" spans="1:2">
      <c r="A1803" s="121">
        <v>43553</v>
      </c>
      <c r="B1803" s="122">
        <v>16146.11</v>
      </c>
    </row>
    <row r="1804" spans="1:2">
      <c r="A1804" s="121">
        <v>43552</v>
      </c>
      <c r="B1804" s="122">
        <v>16071.26</v>
      </c>
    </row>
    <row r="1805" spans="1:2">
      <c r="A1805" s="121">
        <v>43551</v>
      </c>
      <c r="B1805" s="122">
        <v>15897.65</v>
      </c>
    </row>
    <row r="1806" spans="1:2">
      <c r="A1806" s="121">
        <v>43550</v>
      </c>
      <c r="B1806" s="122">
        <v>15949.46</v>
      </c>
    </row>
    <row r="1807" spans="1:2">
      <c r="A1807" s="121">
        <v>43549</v>
      </c>
      <c r="B1807" s="122">
        <v>15770.26</v>
      </c>
    </row>
    <row r="1808" spans="1:2">
      <c r="A1808" s="121">
        <v>43546</v>
      </c>
      <c r="B1808" s="122">
        <v>15912.88</v>
      </c>
    </row>
    <row r="1809" spans="1:2">
      <c r="A1809" s="121">
        <v>43544</v>
      </c>
      <c r="B1809" s="122">
        <v>15998.51</v>
      </c>
    </row>
    <row r="1810" spans="1:2">
      <c r="A1810" s="121">
        <v>43543</v>
      </c>
      <c r="B1810" s="122">
        <v>16014.33</v>
      </c>
    </row>
    <row r="1811" spans="1:2">
      <c r="A1811" s="121">
        <v>43542</v>
      </c>
      <c r="B1811" s="122">
        <v>15916.8</v>
      </c>
    </row>
    <row r="1812" spans="1:2">
      <c r="A1812" s="121">
        <v>43539</v>
      </c>
      <c r="B1812" s="122">
        <v>15867.74</v>
      </c>
    </row>
    <row r="1813" spans="1:2">
      <c r="A1813" s="121">
        <v>43538</v>
      </c>
      <c r="B1813" s="122">
        <v>15749.67</v>
      </c>
    </row>
    <row r="1814" spans="1:2">
      <c r="A1814" s="121">
        <v>43537</v>
      </c>
      <c r="B1814" s="122">
        <v>15742.86</v>
      </c>
    </row>
    <row r="1815" spans="1:2">
      <c r="A1815" s="121">
        <v>43536</v>
      </c>
      <c r="B1815" s="122">
        <v>15685.41</v>
      </c>
    </row>
    <row r="1816" spans="1:2">
      <c r="A1816" s="121">
        <v>43535</v>
      </c>
      <c r="B1816" s="122">
        <v>15500.61</v>
      </c>
    </row>
    <row r="1817" spans="1:2">
      <c r="A1817" s="121">
        <v>43532</v>
      </c>
      <c r="B1817" s="122">
        <v>15316.51</v>
      </c>
    </row>
    <row r="1818" spans="1:2">
      <c r="A1818" s="121">
        <v>43531</v>
      </c>
      <c r="B1818" s="122">
        <v>15348.14</v>
      </c>
    </row>
    <row r="1819" spans="1:2">
      <c r="A1819" s="121">
        <v>43530</v>
      </c>
      <c r="B1819" s="122">
        <v>15340.93</v>
      </c>
    </row>
    <row r="1820" spans="1:2">
      <c r="A1820" s="121">
        <v>43529</v>
      </c>
      <c r="B1820" s="122">
        <v>15249.97</v>
      </c>
    </row>
    <row r="1821" spans="1:2">
      <c r="A1821" s="121">
        <v>43525</v>
      </c>
      <c r="B1821" s="122">
        <v>15077.91</v>
      </c>
    </row>
    <row r="1822" spans="1:2">
      <c r="A1822" s="121">
        <v>43524</v>
      </c>
      <c r="B1822" s="122">
        <v>14979.39</v>
      </c>
    </row>
    <row r="1823" spans="1:2">
      <c r="A1823" s="121">
        <v>43523</v>
      </c>
      <c r="B1823" s="122">
        <v>14993.45</v>
      </c>
    </row>
    <row r="1824" spans="1:2">
      <c r="A1824" s="121">
        <v>43522</v>
      </c>
      <c r="B1824" s="122">
        <v>15033.15</v>
      </c>
    </row>
    <row r="1825" spans="1:2">
      <c r="A1825" s="121">
        <v>43521</v>
      </c>
      <c r="B1825" s="122">
        <v>15095.33</v>
      </c>
    </row>
    <row r="1826" spans="1:2">
      <c r="A1826" s="121">
        <v>43518</v>
      </c>
      <c r="B1826" s="122">
        <v>14972.58</v>
      </c>
    </row>
    <row r="1827" spans="1:2">
      <c r="A1827" s="121">
        <v>43517</v>
      </c>
      <c r="B1827" s="122">
        <v>14970.12</v>
      </c>
    </row>
    <row r="1828" spans="1:2">
      <c r="A1828" s="121">
        <v>43516</v>
      </c>
      <c r="B1828" s="122">
        <v>14891.6</v>
      </c>
    </row>
    <row r="1829" spans="1:2">
      <c r="A1829" s="121">
        <v>43515</v>
      </c>
      <c r="B1829" s="122">
        <v>14709.75</v>
      </c>
    </row>
    <row r="1830" spans="1:2">
      <c r="A1830" s="121">
        <v>43514</v>
      </c>
      <c r="B1830" s="122">
        <v>14760.48</v>
      </c>
    </row>
    <row r="1831" spans="1:2">
      <c r="A1831" s="121">
        <v>43511</v>
      </c>
      <c r="B1831" s="122">
        <v>14876.27</v>
      </c>
    </row>
    <row r="1832" spans="1:2">
      <c r="A1832" s="121">
        <v>43510</v>
      </c>
      <c r="B1832" s="122">
        <v>14906.26</v>
      </c>
    </row>
    <row r="1833" spans="1:2">
      <c r="A1833" s="121">
        <v>43509</v>
      </c>
      <c r="B1833" s="122">
        <v>14970.62</v>
      </c>
    </row>
    <row r="1834" spans="1:2">
      <c r="A1834" s="121">
        <v>43508</v>
      </c>
      <c r="B1834" s="122">
        <v>15023.02</v>
      </c>
    </row>
    <row r="1835" spans="1:2">
      <c r="A1835" s="121">
        <v>43507</v>
      </c>
      <c r="B1835" s="122">
        <v>15100.61</v>
      </c>
    </row>
    <row r="1836" spans="1:2">
      <c r="A1836" s="121">
        <v>43504</v>
      </c>
      <c r="B1836" s="122">
        <v>15173.02</v>
      </c>
    </row>
    <row r="1837" spans="1:2">
      <c r="A1837" s="121">
        <v>43503</v>
      </c>
      <c r="B1837" s="122">
        <v>15347.41</v>
      </c>
    </row>
    <row r="1838" spans="1:2">
      <c r="A1838" s="121">
        <v>43502</v>
      </c>
      <c r="B1838" s="122">
        <v>15337.8</v>
      </c>
    </row>
    <row r="1839" spans="1:2">
      <c r="A1839" s="121">
        <v>43501</v>
      </c>
      <c r="B1839" s="122">
        <v>15155.99</v>
      </c>
    </row>
    <row r="1840" spans="1:2">
      <c r="A1840" s="121">
        <v>43500</v>
      </c>
      <c r="B1840" s="122">
        <v>15125.02</v>
      </c>
    </row>
    <row r="1841" spans="1:2">
      <c r="A1841" s="121">
        <v>43497</v>
      </c>
      <c r="B1841" s="122">
        <v>15099.21</v>
      </c>
    </row>
    <row r="1842" spans="1:2">
      <c r="A1842" s="121">
        <v>43496</v>
      </c>
      <c r="B1842" s="122">
        <v>15012.34</v>
      </c>
    </row>
    <row r="1843" spans="1:2">
      <c r="A1843" s="121">
        <v>43495</v>
      </c>
      <c r="B1843" s="122">
        <v>14764.02</v>
      </c>
    </row>
    <row r="1844" spans="1:2">
      <c r="A1844" s="121">
        <v>43494</v>
      </c>
      <c r="B1844" s="122">
        <v>14764.59</v>
      </c>
    </row>
    <row r="1845" spans="1:2">
      <c r="A1845" s="121">
        <v>43493</v>
      </c>
      <c r="B1845" s="122">
        <v>14777.11</v>
      </c>
    </row>
    <row r="1846" spans="1:2">
      <c r="A1846" s="121">
        <v>43490</v>
      </c>
      <c r="B1846" s="122">
        <v>14942.09</v>
      </c>
    </row>
    <row r="1847" spans="1:2">
      <c r="A1847" s="121">
        <v>43489</v>
      </c>
      <c r="B1847" s="122">
        <v>15038.07</v>
      </c>
    </row>
    <row r="1848" spans="1:2">
      <c r="A1848" s="121">
        <v>43488</v>
      </c>
      <c r="B1848" s="122">
        <v>15007.4</v>
      </c>
    </row>
    <row r="1849" spans="1:2">
      <c r="A1849" s="121">
        <v>43487</v>
      </c>
      <c r="B1849" s="122">
        <v>15133.83</v>
      </c>
    </row>
    <row r="1850" spans="1:2">
      <c r="A1850" s="121">
        <v>43486</v>
      </c>
      <c r="B1850" s="122">
        <v>15188</v>
      </c>
    </row>
    <row r="1851" spans="1:2">
      <c r="A1851" s="121">
        <v>43483</v>
      </c>
      <c r="B1851" s="122">
        <v>15111.95</v>
      </c>
    </row>
    <row r="1852" spans="1:2">
      <c r="A1852" s="121">
        <v>43482</v>
      </c>
      <c r="B1852" s="122">
        <v>15109.54</v>
      </c>
    </row>
    <row r="1853" spans="1:2">
      <c r="A1853" s="121">
        <v>43481</v>
      </c>
      <c r="B1853" s="122">
        <v>15087.41</v>
      </c>
    </row>
    <row r="1854" spans="1:2">
      <c r="A1854" s="121">
        <v>43480</v>
      </c>
      <c r="B1854" s="122">
        <v>15082.59</v>
      </c>
    </row>
    <row r="1855" spans="1:2">
      <c r="A1855" s="121">
        <v>43479</v>
      </c>
      <c r="B1855" s="122">
        <v>14875.92</v>
      </c>
    </row>
    <row r="1856" spans="1:2">
      <c r="A1856" s="121">
        <v>43476</v>
      </c>
      <c r="B1856" s="122">
        <v>14955.33</v>
      </c>
    </row>
    <row r="1857" spans="1:2">
      <c r="A1857" s="121">
        <v>43475</v>
      </c>
      <c r="B1857" s="122">
        <v>14992.23</v>
      </c>
    </row>
    <row r="1858" spans="1:2">
      <c r="A1858" s="121">
        <v>43474</v>
      </c>
      <c r="B1858" s="122">
        <v>15038.74</v>
      </c>
    </row>
    <row r="1859" spans="1:2">
      <c r="A1859" s="121">
        <v>43473</v>
      </c>
      <c r="B1859" s="122">
        <v>14965.34</v>
      </c>
    </row>
    <row r="1860" spans="1:2">
      <c r="A1860" s="121">
        <v>43472</v>
      </c>
      <c r="B1860" s="122">
        <v>14923.27</v>
      </c>
    </row>
    <row r="1861" spans="1:2">
      <c r="A1861" s="121">
        <v>43469</v>
      </c>
      <c r="B1861" s="122">
        <v>14861.69</v>
      </c>
    </row>
    <row r="1862" spans="1:2">
      <c r="A1862" s="121">
        <v>43468</v>
      </c>
      <c r="B1862" s="122">
        <v>14785.38</v>
      </c>
    </row>
    <row r="1863" spans="1:2">
      <c r="A1863" s="121">
        <v>43467</v>
      </c>
      <c r="B1863" s="122">
        <v>14951.96</v>
      </c>
    </row>
    <row r="1864" spans="1:2">
      <c r="A1864" s="121">
        <v>43466</v>
      </c>
      <c r="B1864" s="122">
        <v>15114.9</v>
      </c>
    </row>
    <row r="1865" spans="1:2">
      <c r="A1865" s="121">
        <v>43465</v>
      </c>
      <c r="B1865" s="122">
        <v>15048.98</v>
      </c>
    </row>
    <row r="1866" spans="1:2">
      <c r="A1866" s="121">
        <v>43462</v>
      </c>
      <c r="B1866" s="122">
        <v>15045.34</v>
      </c>
    </row>
    <row r="1867" spans="1:2">
      <c r="A1867" s="121">
        <v>43461</v>
      </c>
      <c r="B1867" s="122">
        <v>14930.18</v>
      </c>
    </row>
    <row r="1868" spans="1:2">
      <c r="A1868" s="121">
        <v>43460</v>
      </c>
      <c r="B1868" s="122">
        <v>14860.97</v>
      </c>
    </row>
    <row r="1869" spans="1:2">
      <c r="A1869" s="121">
        <v>43458</v>
      </c>
      <c r="B1869" s="122">
        <v>14769.13</v>
      </c>
    </row>
    <row r="1870" spans="1:2">
      <c r="A1870" s="121">
        <v>43455</v>
      </c>
      <c r="B1870" s="122">
        <v>14894.42</v>
      </c>
    </row>
    <row r="1871" spans="1:2">
      <c r="A1871" s="121">
        <v>43454</v>
      </c>
      <c r="B1871" s="122">
        <v>15163.14</v>
      </c>
    </row>
    <row r="1872" spans="1:2">
      <c r="A1872" s="121">
        <v>43453</v>
      </c>
      <c r="B1872" s="122">
        <v>15184.78</v>
      </c>
    </row>
    <row r="1873" spans="1:2">
      <c r="A1873" s="121">
        <v>43452</v>
      </c>
      <c r="B1873" s="122">
        <v>15103.63</v>
      </c>
    </row>
    <row r="1874" spans="1:2">
      <c r="A1874" s="121">
        <v>43451</v>
      </c>
      <c r="B1874" s="122">
        <v>15075.46</v>
      </c>
    </row>
    <row r="1875" spans="1:2">
      <c r="A1875" s="121">
        <v>43448</v>
      </c>
      <c r="B1875" s="122">
        <v>14960.64</v>
      </c>
    </row>
    <row r="1876" spans="1:2">
      <c r="A1876" s="121">
        <v>43447</v>
      </c>
      <c r="B1876" s="122">
        <v>14941.4</v>
      </c>
    </row>
    <row r="1877" spans="1:2">
      <c r="A1877" s="121">
        <v>43446</v>
      </c>
      <c r="B1877" s="122">
        <v>14866.71</v>
      </c>
    </row>
    <row r="1878" spans="1:2">
      <c r="A1878" s="121">
        <v>43445</v>
      </c>
      <c r="B1878" s="122">
        <v>14605.79</v>
      </c>
    </row>
    <row r="1879" spans="1:2">
      <c r="A1879" s="121">
        <v>43444</v>
      </c>
      <c r="B1879" s="122">
        <v>14521.73</v>
      </c>
    </row>
    <row r="1880" spans="1:2">
      <c r="A1880" s="121">
        <v>43441</v>
      </c>
      <c r="B1880" s="122">
        <v>14805.93</v>
      </c>
    </row>
    <row r="1881" spans="1:2">
      <c r="A1881" s="121">
        <v>43440</v>
      </c>
      <c r="B1881" s="122">
        <v>14677.79</v>
      </c>
    </row>
    <row r="1882" spans="1:2">
      <c r="A1882" s="121">
        <v>43439</v>
      </c>
      <c r="B1882" s="122">
        <v>14929.43</v>
      </c>
    </row>
    <row r="1883" spans="1:2">
      <c r="A1883" s="121">
        <v>43438</v>
      </c>
      <c r="B1883" s="122">
        <v>15049.32</v>
      </c>
    </row>
    <row r="1884" spans="1:2">
      <c r="A1884" s="121">
        <v>43437</v>
      </c>
      <c r="B1884" s="122">
        <v>15069.07</v>
      </c>
    </row>
    <row r="1885" spans="1:2">
      <c r="A1885" s="121">
        <v>43434</v>
      </c>
      <c r="B1885" s="122">
        <v>15059.37</v>
      </c>
    </row>
    <row r="1886" spans="1:2">
      <c r="A1886" s="121">
        <v>43433</v>
      </c>
      <c r="B1886" s="122">
        <v>15034.36</v>
      </c>
    </row>
    <row r="1887" spans="1:2">
      <c r="A1887" s="121">
        <v>43432</v>
      </c>
      <c r="B1887" s="122">
        <v>14854.61</v>
      </c>
    </row>
    <row r="1888" spans="1:2">
      <c r="A1888" s="121">
        <v>43431</v>
      </c>
      <c r="B1888" s="122">
        <v>14794.7</v>
      </c>
    </row>
    <row r="1889" spans="1:2">
      <c r="A1889" s="121">
        <v>43430</v>
      </c>
      <c r="B1889" s="122">
        <v>14715.81</v>
      </c>
    </row>
    <row r="1890" spans="1:2">
      <c r="A1890" s="121">
        <v>43426</v>
      </c>
      <c r="B1890" s="122">
        <v>14574.82</v>
      </c>
    </row>
    <row r="1891" spans="1:2">
      <c r="A1891" s="121">
        <v>43425</v>
      </c>
      <c r="B1891" s="122">
        <v>14676.29</v>
      </c>
    </row>
    <row r="1892" spans="1:2">
      <c r="A1892" s="121">
        <v>43424</v>
      </c>
      <c r="B1892" s="122">
        <v>14754.03</v>
      </c>
    </row>
    <row r="1893" spans="1:2">
      <c r="A1893" s="121">
        <v>43423</v>
      </c>
      <c r="B1893" s="122">
        <v>14902.44</v>
      </c>
    </row>
    <row r="1894" spans="1:2">
      <c r="A1894" s="121">
        <v>43420</v>
      </c>
      <c r="B1894" s="122">
        <v>14790.05</v>
      </c>
    </row>
    <row r="1895" spans="1:2">
      <c r="A1895" s="121">
        <v>43419</v>
      </c>
      <c r="B1895" s="122">
        <v>14699.33</v>
      </c>
    </row>
    <row r="1896" spans="1:2">
      <c r="A1896" s="121">
        <v>43418</v>
      </c>
      <c r="B1896" s="122">
        <v>14643.42</v>
      </c>
    </row>
    <row r="1897" spans="1:2">
      <c r="A1897" s="121">
        <v>43417</v>
      </c>
      <c r="B1897" s="122">
        <v>14651.98</v>
      </c>
    </row>
    <row r="1898" spans="1:2">
      <c r="A1898" s="121">
        <v>43416</v>
      </c>
      <c r="B1898" s="122">
        <v>14513.12</v>
      </c>
    </row>
    <row r="1899" spans="1:2">
      <c r="A1899" s="121">
        <v>43413</v>
      </c>
      <c r="B1899" s="122">
        <v>14655.69</v>
      </c>
    </row>
    <row r="1900" spans="1:2">
      <c r="A1900" s="121">
        <v>43411</v>
      </c>
      <c r="B1900" s="122">
        <v>14673.98</v>
      </c>
    </row>
    <row r="1901" spans="1:2">
      <c r="A1901" s="121">
        <v>43410</v>
      </c>
      <c r="B1901" s="122">
        <v>14579.28</v>
      </c>
    </row>
    <row r="1902" spans="1:2">
      <c r="A1902" s="121">
        <v>43409</v>
      </c>
      <c r="B1902" s="122">
        <v>14570.98</v>
      </c>
    </row>
    <row r="1903" spans="1:2">
      <c r="A1903" s="121">
        <v>43406</v>
      </c>
      <c r="B1903" s="122">
        <v>14609.96</v>
      </c>
    </row>
    <row r="1904" spans="1:2">
      <c r="A1904" s="121">
        <v>43405</v>
      </c>
      <c r="B1904" s="122">
        <v>14371.1</v>
      </c>
    </row>
    <row r="1905" spans="1:2">
      <c r="A1905" s="121">
        <v>43404</v>
      </c>
      <c r="B1905" s="122">
        <v>14377.38</v>
      </c>
    </row>
    <row r="1906" spans="1:2">
      <c r="A1906" s="121">
        <v>43403</v>
      </c>
      <c r="B1906" s="122">
        <v>14116.91</v>
      </c>
    </row>
    <row r="1907" spans="1:2">
      <c r="A1907" s="121">
        <v>43402</v>
      </c>
      <c r="B1907" s="122">
        <v>14189.11</v>
      </c>
    </row>
    <row r="1908" spans="1:2">
      <c r="A1908" s="121">
        <v>43399</v>
      </c>
      <c r="B1908" s="122">
        <v>13882.95</v>
      </c>
    </row>
    <row r="1909" spans="1:2">
      <c r="A1909" s="121">
        <v>43398</v>
      </c>
      <c r="B1909" s="122">
        <v>14014.33</v>
      </c>
    </row>
    <row r="1910" spans="1:2">
      <c r="A1910" s="121">
        <v>43397</v>
      </c>
      <c r="B1910" s="122">
        <v>14139.75</v>
      </c>
    </row>
    <row r="1911" spans="1:2">
      <c r="A1911" s="121">
        <v>43396</v>
      </c>
      <c r="B1911" s="122">
        <v>14031.96</v>
      </c>
    </row>
    <row r="1912" spans="1:2">
      <c r="A1912" s="121">
        <v>43395</v>
      </c>
      <c r="B1912" s="122">
        <v>14166.64</v>
      </c>
    </row>
    <row r="1913" spans="1:2">
      <c r="A1913" s="121">
        <v>43392</v>
      </c>
      <c r="B1913" s="122">
        <v>14247.22</v>
      </c>
    </row>
    <row r="1914" spans="1:2">
      <c r="A1914" s="121">
        <v>43390</v>
      </c>
      <c r="B1914" s="122">
        <v>14453.94</v>
      </c>
    </row>
    <row r="1915" spans="1:2">
      <c r="A1915" s="121">
        <v>43389</v>
      </c>
      <c r="B1915" s="122">
        <v>14636.1</v>
      </c>
    </row>
    <row r="1916" spans="1:2">
      <c r="A1916" s="121">
        <v>43388</v>
      </c>
      <c r="B1916" s="122">
        <v>14536.17</v>
      </c>
    </row>
    <row r="1917" spans="1:2">
      <c r="A1917" s="121">
        <v>43385</v>
      </c>
      <c r="B1917" s="122">
        <v>14480.86</v>
      </c>
    </row>
    <row r="1918" spans="1:2">
      <c r="A1918" s="121">
        <v>43384</v>
      </c>
      <c r="B1918" s="122">
        <v>14152</v>
      </c>
    </row>
    <row r="1919" spans="1:2">
      <c r="A1919" s="121">
        <v>43383</v>
      </c>
      <c r="B1919" s="122">
        <v>14463.71</v>
      </c>
    </row>
    <row r="1920" spans="1:2">
      <c r="A1920" s="121">
        <v>43382</v>
      </c>
      <c r="B1920" s="122">
        <v>14243.79</v>
      </c>
    </row>
    <row r="1921" spans="1:2">
      <c r="A1921" s="121">
        <v>43381</v>
      </c>
      <c r="B1921" s="122">
        <v>14308.79</v>
      </c>
    </row>
    <row r="1922" spans="1:2">
      <c r="A1922" s="121">
        <v>43378</v>
      </c>
      <c r="B1922" s="122">
        <v>14265.08</v>
      </c>
    </row>
    <row r="1923" spans="1:2">
      <c r="A1923" s="121">
        <v>43377</v>
      </c>
      <c r="B1923" s="122">
        <v>14656.09</v>
      </c>
    </row>
    <row r="1924" spans="1:2">
      <c r="A1924" s="121">
        <v>43376</v>
      </c>
      <c r="B1924" s="122">
        <v>15014.23</v>
      </c>
    </row>
    <row r="1925" spans="1:2">
      <c r="A1925" s="121">
        <v>43374</v>
      </c>
      <c r="B1925" s="122">
        <v>15221.75</v>
      </c>
    </row>
    <row r="1926" spans="1:2">
      <c r="A1926" s="121">
        <v>43371</v>
      </c>
      <c r="B1926" s="122">
        <v>15114.08</v>
      </c>
    </row>
    <row r="1927" spans="1:2">
      <c r="A1927" s="121">
        <v>43370</v>
      </c>
      <c r="B1927" s="122">
        <v>15179.24</v>
      </c>
    </row>
    <row r="1928" spans="1:2">
      <c r="A1928" s="121">
        <v>43369</v>
      </c>
      <c r="B1928" s="122">
        <v>15284.67</v>
      </c>
    </row>
    <row r="1929" spans="1:2">
      <c r="A1929" s="121">
        <v>43368</v>
      </c>
      <c r="B1929" s="122">
        <v>15303.55</v>
      </c>
    </row>
    <row r="1930" spans="1:2">
      <c r="A1930" s="121">
        <v>43367</v>
      </c>
      <c r="B1930" s="122">
        <v>15165.18</v>
      </c>
    </row>
    <row r="1931" spans="1:2">
      <c r="A1931" s="121">
        <v>43364</v>
      </c>
      <c r="B1931" s="122">
        <v>15408.16</v>
      </c>
    </row>
    <row r="1932" spans="1:2">
      <c r="A1932" s="121">
        <v>43362</v>
      </c>
      <c r="B1932" s="122">
        <v>15534.28</v>
      </c>
    </row>
    <row r="1933" spans="1:2">
      <c r="A1933" s="121">
        <v>43361</v>
      </c>
      <c r="B1933" s="122">
        <v>15594.57</v>
      </c>
    </row>
    <row r="1934" spans="1:2">
      <c r="A1934" s="121">
        <v>43360</v>
      </c>
      <c r="B1934" s="122">
        <v>15731.26</v>
      </c>
    </row>
    <row r="1935" spans="1:2">
      <c r="A1935" s="121">
        <v>43357</v>
      </c>
      <c r="B1935" s="122">
        <v>15920.48</v>
      </c>
    </row>
    <row r="1936" spans="1:2">
      <c r="A1936" s="121">
        <v>43355</v>
      </c>
      <c r="B1936" s="122">
        <v>15719.62</v>
      </c>
    </row>
    <row r="1937" spans="1:2">
      <c r="A1937" s="121">
        <v>43354</v>
      </c>
      <c r="B1937" s="122">
        <v>15605.11</v>
      </c>
    </row>
    <row r="1938" spans="1:2">
      <c r="A1938" s="121">
        <v>43353</v>
      </c>
      <c r="B1938" s="122">
        <v>15813.26</v>
      </c>
    </row>
    <row r="1939" spans="1:2">
      <c r="A1939" s="121">
        <v>43350</v>
      </c>
      <c r="B1939" s="122">
        <v>16019.84</v>
      </c>
    </row>
    <row r="1940" spans="1:2">
      <c r="A1940" s="121">
        <v>43349</v>
      </c>
      <c r="B1940" s="122">
        <v>15947.67</v>
      </c>
    </row>
    <row r="1941" spans="1:2">
      <c r="A1941" s="121">
        <v>43348</v>
      </c>
      <c r="B1941" s="122">
        <v>15862.15</v>
      </c>
    </row>
    <row r="1942" spans="1:2">
      <c r="A1942" s="121">
        <v>43347</v>
      </c>
      <c r="B1942" s="122">
        <v>15922.09</v>
      </c>
    </row>
    <row r="1943" spans="1:2">
      <c r="A1943" s="121">
        <v>43346</v>
      </c>
      <c r="B1943" s="122">
        <v>16007.84</v>
      </c>
    </row>
    <row r="1944" spans="1:2">
      <c r="A1944" s="121">
        <v>43343</v>
      </c>
      <c r="B1944" s="122">
        <v>16143.51</v>
      </c>
    </row>
    <row r="1945" spans="1:2">
      <c r="A1945" s="121">
        <v>43342</v>
      </c>
      <c r="B1945" s="122">
        <v>16135.61</v>
      </c>
    </row>
    <row r="1946" spans="1:2">
      <c r="A1946" s="121">
        <v>43341</v>
      </c>
      <c r="B1946" s="122">
        <v>16156.02</v>
      </c>
    </row>
    <row r="1947" spans="1:2">
      <c r="A1947" s="121">
        <v>43340</v>
      </c>
      <c r="B1947" s="122">
        <v>16220.45</v>
      </c>
    </row>
    <row r="1948" spans="1:2">
      <c r="A1948" s="121">
        <v>43339</v>
      </c>
      <c r="B1948" s="122">
        <v>16156.09</v>
      </c>
    </row>
    <row r="1949" spans="1:2">
      <c r="A1949" s="121">
        <v>43336</v>
      </c>
      <c r="B1949" s="122">
        <v>15969.8</v>
      </c>
    </row>
    <row r="1950" spans="1:2">
      <c r="A1950" s="121">
        <v>43335</v>
      </c>
      <c r="B1950" s="122">
        <v>16001.85</v>
      </c>
    </row>
    <row r="1951" spans="1:2">
      <c r="A1951" s="121">
        <v>43333</v>
      </c>
      <c r="B1951" s="122">
        <v>15985.48</v>
      </c>
    </row>
    <row r="1952" spans="1:2">
      <c r="A1952" s="121">
        <v>43332</v>
      </c>
      <c r="B1952" s="122">
        <v>15959.04</v>
      </c>
    </row>
    <row r="1953" spans="1:2">
      <c r="A1953" s="121">
        <v>43329</v>
      </c>
      <c r="B1953" s="122">
        <v>15845.64</v>
      </c>
    </row>
    <row r="1954" spans="1:2">
      <c r="A1954" s="121">
        <v>43328</v>
      </c>
      <c r="B1954" s="122">
        <v>15727.25</v>
      </c>
    </row>
    <row r="1955" spans="1:2">
      <c r="A1955" s="121">
        <v>43326</v>
      </c>
      <c r="B1955" s="122">
        <v>15796.36</v>
      </c>
    </row>
    <row r="1956" spans="1:2">
      <c r="A1956" s="121">
        <v>43325</v>
      </c>
      <c r="B1956" s="122">
        <v>15676.23</v>
      </c>
    </row>
    <row r="1957" spans="1:2">
      <c r="A1957" s="121">
        <v>43322</v>
      </c>
      <c r="B1957" s="122">
        <v>15776.32</v>
      </c>
    </row>
    <row r="1958" spans="1:2">
      <c r="A1958" s="121">
        <v>43321</v>
      </c>
      <c r="B1958" s="122">
        <v>15833.23</v>
      </c>
    </row>
    <row r="1959" spans="1:2">
      <c r="A1959" s="121">
        <v>43320</v>
      </c>
      <c r="B1959" s="122">
        <v>15803.64</v>
      </c>
    </row>
    <row r="1960" spans="1:2">
      <c r="A1960" s="121">
        <v>43319</v>
      </c>
      <c r="B1960" s="122">
        <v>15720.05</v>
      </c>
    </row>
    <row r="1961" spans="1:2">
      <c r="A1961" s="121">
        <v>43318</v>
      </c>
      <c r="B1961" s="122">
        <v>15716.78</v>
      </c>
    </row>
    <row r="1962" spans="1:2">
      <c r="A1962" s="121">
        <v>43315</v>
      </c>
      <c r="B1962" s="122">
        <v>15680.51</v>
      </c>
    </row>
    <row r="1963" spans="1:2">
      <c r="A1963" s="121">
        <v>43314</v>
      </c>
      <c r="B1963" s="122">
        <v>15520.25</v>
      </c>
    </row>
    <row r="1964" spans="1:2">
      <c r="A1964" s="121">
        <v>43313</v>
      </c>
      <c r="B1964" s="122">
        <v>15658.27</v>
      </c>
    </row>
    <row r="1965" spans="1:2">
      <c r="A1965" s="121">
        <v>43312</v>
      </c>
      <c r="B1965" s="122">
        <v>15672.47</v>
      </c>
    </row>
    <row r="1966" spans="1:2">
      <c r="A1966" s="121">
        <v>43311</v>
      </c>
      <c r="B1966" s="122">
        <v>15621.47</v>
      </c>
    </row>
    <row r="1967" spans="1:2">
      <c r="A1967" s="121">
        <v>43308</v>
      </c>
      <c r="B1967" s="122">
        <v>15564.19</v>
      </c>
    </row>
    <row r="1968" spans="1:2">
      <c r="A1968" s="121">
        <v>43307</v>
      </c>
      <c r="B1968" s="122">
        <v>15410.93</v>
      </c>
    </row>
    <row r="1969" spans="1:2">
      <c r="A1969" s="121">
        <v>43306</v>
      </c>
      <c r="B1969" s="122">
        <v>15358.72</v>
      </c>
    </row>
    <row r="1970" spans="1:2">
      <c r="A1970" s="121">
        <v>43305</v>
      </c>
      <c r="B1970" s="122">
        <v>15361.88</v>
      </c>
    </row>
    <row r="1971" spans="1:2">
      <c r="A1971" s="121">
        <v>43304</v>
      </c>
      <c r="B1971" s="122">
        <v>15293.5</v>
      </c>
    </row>
    <row r="1972" spans="1:2">
      <c r="A1972" s="121">
        <v>43301</v>
      </c>
      <c r="B1972" s="122">
        <v>15190.13</v>
      </c>
    </row>
    <row r="1973" spans="1:2">
      <c r="A1973" s="121">
        <v>43300</v>
      </c>
      <c r="B1973" s="122">
        <v>15116.83</v>
      </c>
    </row>
    <row r="1974" spans="1:2">
      <c r="A1974" s="121">
        <v>43299</v>
      </c>
      <c r="B1974" s="122">
        <v>15135.57</v>
      </c>
    </row>
    <row r="1975" spans="1:2">
      <c r="A1975" s="121">
        <v>43298</v>
      </c>
      <c r="B1975" s="122">
        <v>15172.31</v>
      </c>
    </row>
    <row r="1976" spans="1:2">
      <c r="A1976" s="121">
        <v>43297</v>
      </c>
      <c r="B1976" s="122">
        <v>15072.66</v>
      </c>
    </row>
    <row r="1977" spans="1:2">
      <c r="A1977" s="121">
        <v>43294</v>
      </c>
      <c r="B1977" s="122">
        <v>15184.88</v>
      </c>
    </row>
    <row r="1978" spans="1:2">
      <c r="A1978" s="121">
        <v>43293</v>
      </c>
      <c r="B1978" s="122">
        <v>15190.82</v>
      </c>
    </row>
    <row r="1979" spans="1:2">
      <c r="A1979" s="121">
        <v>43292</v>
      </c>
      <c r="B1979" s="122">
        <v>15085.15</v>
      </c>
    </row>
    <row r="1980" spans="1:2">
      <c r="A1980" s="121">
        <v>43291</v>
      </c>
      <c r="B1980" s="122">
        <v>15081.6</v>
      </c>
    </row>
    <row r="1981" spans="1:2">
      <c r="A1981" s="121">
        <v>43290</v>
      </c>
      <c r="B1981" s="122">
        <v>14951.2</v>
      </c>
    </row>
    <row r="1982" spans="1:2">
      <c r="A1982" s="121">
        <v>43287</v>
      </c>
      <c r="B1982" s="122">
        <v>14840.13</v>
      </c>
    </row>
    <row r="1983" spans="1:2">
      <c r="A1983" s="121">
        <v>43286</v>
      </c>
      <c r="B1983" s="122">
        <v>14808.54</v>
      </c>
    </row>
    <row r="1984" spans="1:2">
      <c r="A1984" s="121">
        <v>43285</v>
      </c>
      <c r="B1984" s="122">
        <v>14830.5</v>
      </c>
    </row>
    <row r="1985" spans="1:2">
      <c r="A1985" s="121">
        <v>43284</v>
      </c>
      <c r="B1985" s="122">
        <v>14734.11</v>
      </c>
    </row>
    <row r="1986" spans="1:2">
      <c r="A1986" s="121">
        <v>43283</v>
      </c>
      <c r="B1986" s="122">
        <v>14675.42</v>
      </c>
    </row>
    <row r="1987" spans="1:2">
      <c r="A1987" s="121">
        <v>43280</v>
      </c>
      <c r="B1987" s="122">
        <v>14753.91</v>
      </c>
    </row>
    <row r="1988" spans="1:2">
      <c r="A1988" s="121">
        <v>43279</v>
      </c>
      <c r="B1988" s="122">
        <v>14581.53</v>
      </c>
    </row>
    <row r="1989" spans="1:2">
      <c r="A1989" s="121">
        <v>43278</v>
      </c>
      <c r="B1989" s="122">
        <v>14694.16</v>
      </c>
    </row>
    <row r="1990" spans="1:2">
      <c r="A1990" s="121">
        <v>43277</v>
      </c>
      <c r="B1990" s="122">
        <v>14821.45</v>
      </c>
    </row>
    <row r="1991" spans="1:2">
      <c r="A1991" s="121">
        <v>43276</v>
      </c>
      <c r="B1991" s="122">
        <v>14812.28</v>
      </c>
    </row>
    <row r="1992" spans="1:2">
      <c r="A1992" s="121">
        <v>43273</v>
      </c>
      <c r="B1992" s="122">
        <v>14894.02</v>
      </c>
    </row>
    <row r="1993" spans="1:2">
      <c r="A1993" s="121">
        <v>43272</v>
      </c>
      <c r="B1993" s="122">
        <v>14782.87</v>
      </c>
    </row>
    <row r="1994" spans="1:2">
      <c r="A1994" s="121">
        <v>43271</v>
      </c>
      <c r="B1994" s="122">
        <v>14822.46</v>
      </c>
    </row>
    <row r="1995" spans="1:2">
      <c r="A1995" s="121">
        <v>43270</v>
      </c>
      <c r="B1995" s="122">
        <v>14737.7</v>
      </c>
    </row>
    <row r="1996" spans="1:2">
      <c r="A1996" s="121">
        <v>43269</v>
      </c>
      <c r="B1996" s="122">
        <v>14860.73</v>
      </c>
    </row>
    <row r="1997" spans="1:2">
      <c r="A1997" s="121">
        <v>43266</v>
      </c>
      <c r="B1997" s="122">
        <v>14885.3</v>
      </c>
    </row>
    <row r="1998" spans="1:2">
      <c r="A1998" s="121">
        <v>43265</v>
      </c>
      <c r="B1998" s="122">
        <v>14871.97</v>
      </c>
    </row>
    <row r="1999" spans="1:2">
      <c r="A1999" s="121">
        <v>43264</v>
      </c>
      <c r="B1999" s="122">
        <v>14917.68</v>
      </c>
    </row>
    <row r="2000" spans="1:2">
      <c r="A2000" s="121">
        <v>43263</v>
      </c>
      <c r="B2000" s="122">
        <v>14898.66</v>
      </c>
    </row>
    <row r="2001" spans="1:2">
      <c r="A2001" s="121">
        <v>43262</v>
      </c>
      <c r="B2001" s="122">
        <v>14821.8</v>
      </c>
    </row>
    <row r="2002" spans="1:2">
      <c r="A2002" s="121">
        <v>43259</v>
      </c>
      <c r="B2002" s="122">
        <v>14795.31</v>
      </c>
    </row>
    <row r="2003" spans="1:2">
      <c r="A2003" s="121">
        <v>43258</v>
      </c>
      <c r="B2003" s="122">
        <v>14796.24</v>
      </c>
    </row>
    <row r="2004" spans="1:2">
      <c r="A2004" s="121">
        <v>43257</v>
      </c>
      <c r="B2004" s="122">
        <v>14681.25</v>
      </c>
    </row>
    <row r="2005" spans="1:2">
      <c r="A2005" s="121">
        <v>43256</v>
      </c>
      <c r="B2005" s="122">
        <v>14555.52</v>
      </c>
    </row>
    <row r="2006" spans="1:2">
      <c r="A2006" s="121">
        <v>43255</v>
      </c>
      <c r="B2006" s="122">
        <v>14604.11</v>
      </c>
    </row>
    <row r="2007" spans="1:2">
      <c r="A2007" s="121">
        <v>43252</v>
      </c>
      <c r="B2007" s="122">
        <v>14695.4</v>
      </c>
    </row>
    <row r="2008" spans="1:2">
      <c r="A2008" s="121">
        <v>43251</v>
      </c>
      <c r="B2008" s="122">
        <v>14750.26</v>
      </c>
    </row>
    <row r="2009" spans="1:2">
      <c r="A2009" s="121">
        <v>43250</v>
      </c>
      <c r="B2009" s="122">
        <v>14568.75</v>
      </c>
    </row>
    <row r="2010" spans="1:2">
      <c r="A2010" s="121">
        <v>43249</v>
      </c>
      <c r="B2010" s="122">
        <v>14594.78</v>
      </c>
    </row>
    <row r="2011" spans="1:2">
      <c r="A2011" s="121">
        <v>43248</v>
      </c>
      <c r="B2011" s="122">
        <v>14670.76</v>
      </c>
    </row>
    <row r="2012" spans="1:2">
      <c r="A2012" s="121">
        <v>43245</v>
      </c>
      <c r="B2012" s="122">
        <v>14556.18</v>
      </c>
    </row>
    <row r="2013" spans="1:2">
      <c r="A2013" s="121">
        <v>43244</v>
      </c>
      <c r="B2013" s="122">
        <v>14415.65</v>
      </c>
    </row>
    <row r="2014" spans="1:2">
      <c r="A2014" s="121">
        <v>43243</v>
      </c>
      <c r="B2014" s="122">
        <v>14301.15</v>
      </c>
    </row>
    <row r="2015" spans="1:2">
      <c r="A2015" s="121">
        <v>43242</v>
      </c>
      <c r="B2015" s="122">
        <v>14446.97</v>
      </c>
    </row>
    <row r="2016" spans="1:2">
      <c r="A2016" s="121">
        <v>43241</v>
      </c>
      <c r="B2016" s="122">
        <v>14419.57</v>
      </c>
    </row>
    <row r="2017" spans="1:2">
      <c r="A2017" s="121">
        <v>43238</v>
      </c>
      <c r="B2017" s="122">
        <v>14528.82</v>
      </c>
    </row>
    <row r="2018" spans="1:2">
      <c r="A2018" s="121">
        <v>43237</v>
      </c>
      <c r="B2018" s="122">
        <v>14647.15</v>
      </c>
    </row>
    <row r="2019" spans="1:2">
      <c r="A2019" s="121">
        <v>43236</v>
      </c>
      <c r="B2019" s="122">
        <v>14727.26</v>
      </c>
    </row>
    <row r="2020" spans="1:2">
      <c r="A2020" s="121">
        <v>43235</v>
      </c>
      <c r="B2020" s="122">
        <v>14810.54</v>
      </c>
    </row>
    <row r="2021" spans="1:2">
      <c r="A2021" s="121">
        <v>43234</v>
      </c>
      <c r="B2021" s="122">
        <v>14817.01</v>
      </c>
    </row>
    <row r="2022" spans="1:2">
      <c r="A2022" s="121">
        <v>43231</v>
      </c>
      <c r="B2022" s="122">
        <v>14816.93</v>
      </c>
    </row>
    <row r="2023" spans="1:2">
      <c r="A2023" s="121">
        <v>43230</v>
      </c>
      <c r="B2023" s="122">
        <v>14693.55</v>
      </c>
    </row>
    <row r="2024" spans="1:2">
      <c r="A2024" s="121">
        <v>43229</v>
      </c>
      <c r="B2024" s="122">
        <v>14728.03</v>
      </c>
    </row>
    <row r="2025" spans="1:2">
      <c r="A2025" s="121">
        <v>43228</v>
      </c>
      <c r="B2025" s="122">
        <v>14694.93</v>
      </c>
    </row>
    <row r="2026" spans="1:2">
      <c r="A2026" s="121">
        <v>43227</v>
      </c>
      <c r="B2026" s="122">
        <v>14691.72</v>
      </c>
    </row>
    <row r="2027" spans="1:2">
      <c r="A2027" s="121">
        <v>43224</v>
      </c>
      <c r="B2027" s="122">
        <v>14558.42</v>
      </c>
    </row>
    <row r="2028" spans="1:2">
      <c r="A2028" s="121">
        <v>43223</v>
      </c>
      <c r="B2028" s="122">
        <v>14642.62</v>
      </c>
    </row>
    <row r="2029" spans="1:2">
      <c r="A2029" s="121">
        <v>43222</v>
      </c>
      <c r="B2029" s="122">
        <v>14695.26</v>
      </c>
    </row>
    <row r="2030" spans="1:2">
      <c r="A2030" s="121">
        <v>43220</v>
      </c>
      <c r="B2030" s="122">
        <v>14723.32</v>
      </c>
    </row>
    <row r="2031" spans="1:2">
      <c r="A2031" s="121">
        <v>43217</v>
      </c>
      <c r="B2031" s="122">
        <v>14658.83</v>
      </c>
    </row>
    <row r="2032" spans="1:2">
      <c r="A2032" s="121">
        <v>43216</v>
      </c>
      <c r="B2032" s="122">
        <v>14556.65</v>
      </c>
    </row>
    <row r="2033" spans="1:2">
      <c r="A2033" s="121">
        <v>43215</v>
      </c>
      <c r="B2033" s="122">
        <v>14491.88</v>
      </c>
    </row>
    <row r="2034" spans="1:2">
      <c r="A2034" s="121">
        <v>43214</v>
      </c>
      <c r="B2034" s="122">
        <v>14551.96</v>
      </c>
    </row>
    <row r="2035" spans="1:2">
      <c r="A2035" s="121">
        <v>43213</v>
      </c>
      <c r="B2035" s="122">
        <v>14511.28</v>
      </c>
    </row>
    <row r="2036" spans="1:2">
      <c r="A2036" s="121">
        <v>43210</v>
      </c>
      <c r="B2036" s="122">
        <v>14482.97</v>
      </c>
    </row>
    <row r="2037" spans="1:2">
      <c r="A2037" s="121">
        <v>43209</v>
      </c>
      <c r="B2037" s="122">
        <v>14484.7</v>
      </c>
    </row>
    <row r="2038" spans="1:2">
      <c r="A2038" s="121">
        <v>43208</v>
      </c>
      <c r="B2038" s="122">
        <v>14431.07</v>
      </c>
    </row>
    <row r="2039" spans="1:2">
      <c r="A2039" s="121">
        <v>43207</v>
      </c>
      <c r="B2039" s="122">
        <v>14461.97</v>
      </c>
    </row>
    <row r="2040" spans="1:2">
      <c r="A2040" s="121">
        <v>43206</v>
      </c>
      <c r="B2040" s="122">
        <v>14434.05</v>
      </c>
    </row>
    <row r="2041" spans="1:2">
      <c r="A2041" s="121">
        <v>43203</v>
      </c>
      <c r="B2041" s="122">
        <v>14368.56</v>
      </c>
    </row>
    <row r="2042" spans="1:2">
      <c r="A2042" s="121">
        <v>43202</v>
      </c>
      <c r="B2042" s="122">
        <v>14338.46</v>
      </c>
    </row>
    <row r="2043" spans="1:2">
      <c r="A2043" s="121">
        <v>43201</v>
      </c>
      <c r="B2043" s="122">
        <v>14281.6</v>
      </c>
    </row>
    <row r="2044" spans="1:2">
      <c r="A2044" s="121">
        <v>43200</v>
      </c>
      <c r="B2044" s="122">
        <v>14261.15</v>
      </c>
    </row>
    <row r="2045" spans="1:2">
      <c r="A2045" s="121">
        <v>43199</v>
      </c>
      <c r="B2045" s="122">
        <v>14229.77</v>
      </c>
    </row>
    <row r="2046" spans="1:2">
      <c r="A2046" s="121">
        <v>43196</v>
      </c>
      <c r="B2046" s="122">
        <v>14164.28</v>
      </c>
    </row>
    <row r="2047" spans="1:2">
      <c r="A2047" s="121">
        <v>43195</v>
      </c>
      <c r="B2047" s="122">
        <v>14155.47</v>
      </c>
    </row>
    <row r="2048" spans="1:2">
      <c r="A2048" s="121">
        <v>43194</v>
      </c>
      <c r="B2048" s="122">
        <v>13885.72</v>
      </c>
    </row>
    <row r="2049" spans="1:2">
      <c r="A2049" s="121">
        <v>43193</v>
      </c>
      <c r="B2049" s="122">
        <v>14045.55</v>
      </c>
    </row>
    <row r="2050" spans="1:2">
      <c r="A2050" s="121">
        <v>43192</v>
      </c>
      <c r="B2050" s="122">
        <v>14000.07</v>
      </c>
    </row>
    <row r="2051" spans="1:2">
      <c r="A2051" s="121">
        <v>43187</v>
      </c>
      <c r="B2051" s="122">
        <v>13865.57</v>
      </c>
    </row>
    <row r="2052" spans="1:2">
      <c r="A2052" s="121">
        <v>43186</v>
      </c>
      <c r="B2052" s="122">
        <v>13962.15</v>
      </c>
    </row>
    <row r="2053" spans="1:2">
      <c r="A2053" s="121">
        <v>43185</v>
      </c>
      <c r="B2053" s="122">
        <v>13888.82</v>
      </c>
    </row>
    <row r="2054" spans="1:2">
      <c r="A2054" s="121">
        <v>43182</v>
      </c>
      <c r="B2054" s="122">
        <v>13706.99</v>
      </c>
    </row>
    <row r="2055" spans="1:2">
      <c r="A2055" s="121">
        <v>43181</v>
      </c>
      <c r="B2055" s="122">
        <v>13867.01</v>
      </c>
    </row>
    <row r="2056" spans="1:2">
      <c r="A2056" s="121">
        <v>43180</v>
      </c>
      <c r="B2056" s="122">
        <v>13920.51</v>
      </c>
    </row>
    <row r="2057" spans="1:2">
      <c r="A2057" s="121">
        <v>43179</v>
      </c>
      <c r="B2057" s="122">
        <v>13878.17</v>
      </c>
    </row>
    <row r="2058" spans="1:2">
      <c r="A2058" s="121">
        <v>43178</v>
      </c>
      <c r="B2058" s="122">
        <v>13822.99</v>
      </c>
    </row>
    <row r="2059" spans="1:2">
      <c r="A2059" s="121">
        <v>43175</v>
      </c>
      <c r="B2059" s="122">
        <v>13961.14</v>
      </c>
    </row>
    <row r="2060" spans="1:2">
      <c r="A2060" s="121">
        <v>43174</v>
      </c>
      <c r="B2060" s="122">
        <v>14179.36</v>
      </c>
    </row>
    <row r="2061" spans="1:2">
      <c r="A2061" s="121">
        <v>43173</v>
      </c>
      <c r="B2061" s="122">
        <v>14248.81</v>
      </c>
    </row>
    <row r="2062" spans="1:2">
      <c r="A2062" s="121">
        <v>43172</v>
      </c>
      <c r="B2062" s="122">
        <v>14270.64</v>
      </c>
    </row>
    <row r="2063" spans="1:2">
      <c r="A2063" s="121">
        <v>43171</v>
      </c>
      <c r="B2063" s="122">
        <v>14260.92</v>
      </c>
    </row>
    <row r="2064" spans="1:2">
      <c r="A2064" s="121">
        <v>43168</v>
      </c>
      <c r="B2064" s="122">
        <v>13994.68</v>
      </c>
    </row>
    <row r="2065" spans="1:2">
      <c r="A2065" s="121">
        <v>43167</v>
      </c>
      <c r="B2065" s="122">
        <v>14016.3</v>
      </c>
    </row>
    <row r="2066" spans="1:2">
      <c r="A2066" s="121">
        <v>43166</v>
      </c>
      <c r="B2066" s="122">
        <v>13895.27</v>
      </c>
    </row>
    <row r="2067" spans="1:2">
      <c r="A2067" s="121">
        <v>43165</v>
      </c>
      <c r="B2067" s="122">
        <v>14025.34</v>
      </c>
    </row>
    <row r="2068" spans="1:2">
      <c r="A2068" s="121">
        <v>43164</v>
      </c>
      <c r="B2068" s="122">
        <v>14175.32</v>
      </c>
    </row>
    <row r="2069" spans="1:2">
      <c r="A2069" s="121">
        <v>43160</v>
      </c>
      <c r="B2069" s="122">
        <v>14311.52</v>
      </c>
    </row>
    <row r="2070" spans="1:2">
      <c r="A2070" s="121">
        <v>43159</v>
      </c>
      <c r="B2070" s="122">
        <v>14358.71</v>
      </c>
    </row>
    <row r="2071" spans="1:2">
      <c r="A2071" s="121">
        <v>43158</v>
      </c>
      <c r="B2071" s="122">
        <v>14438.9</v>
      </c>
    </row>
    <row r="2072" spans="1:2">
      <c r="A2072" s="121">
        <v>43157</v>
      </c>
      <c r="B2072" s="122">
        <v>14477.62</v>
      </c>
    </row>
    <row r="2073" spans="1:2">
      <c r="A2073" s="121">
        <v>43154</v>
      </c>
      <c r="B2073" s="122">
        <v>14352.4</v>
      </c>
    </row>
    <row r="2074" spans="1:2">
      <c r="A2074" s="121">
        <v>43153</v>
      </c>
      <c r="B2074" s="122">
        <v>14204.17</v>
      </c>
    </row>
    <row r="2075" spans="1:2">
      <c r="A2075" s="121">
        <v>43152</v>
      </c>
      <c r="B2075" s="122">
        <v>14220.48</v>
      </c>
    </row>
    <row r="2076" spans="1:2">
      <c r="A2076" s="121">
        <v>43151</v>
      </c>
      <c r="B2076" s="122">
        <v>14169.77</v>
      </c>
    </row>
    <row r="2077" spans="1:2">
      <c r="A2077" s="121">
        <v>43150</v>
      </c>
      <c r="B2077" s="122">
        <v>14194.28</v>
      </c>
    </row>
    <row r="2078" spans="1:2">
      <c r="A2078" s="121">
        <v>43147</v>
      </c>
      <c r="B2078" s="122">
        <v>14295.41</v>
      </c>
    </row>
    <row r="2079" spans="1:2">
      <c r="A2079" s="121">
        <v>43146</v>
      </c>
      <c r="B2079" s="122">
        <v>14422.85</v>
      </c>
    </row>
    <row r="2080" spans="1:2">
      <c r="A2080" s="121">
        <v>43145</v>
      </c>
      <c r="B2080" s="122">
        <v>14359.35</v>
      </c>
    </row>
    <row r="2081" spans="1:2">
      <c r="A2081" s="121">
        <v>43143</v>
      </c>
      <c r="B2081" s="122">
        <v>14412.46</v>
      </c>
    </row>
    <row r="2082" spans="1:2">
      <c r="A2082" s="121">
        <v>43140</v>
      </c>
      <c r="B2082" s="122">
        <v>14296.5</v>
      </c>
    </row>
    <row r="2083" spans="1:2">
      <c r="A2083" s="121">
        <v>43139</v>
      </c>
      <c r="B2083" s="122">
        <v>14463.16</v>
      </c>
    </row>
    <row r="2084" spans="1:2">
      <c r="A2084" s="121">
        <v>43138</v>
      </c>
      <c r="B2084" s="122">
        <v>14317.57</v>
      </c>
    </row>
    <row r="2085" spans="1:2">
      <c r="A2085" s="121">
        <v>43137</v>
      </c>
      <c r="B2085" s="122">
        <v>14344.02</v>
      </c>
    </row>
    <row r="2086" spans="1:2">
      <c r="A2086" s="121">
        <v>43136</v>
      </c>
      <c r="B2086" s="122">
        <v>14574</v>
      </c>
    </row>
    <row r="2087" spans="1:2">
      <c r="A2087" s="121">
        <v>43133</v>
      </c>
      <c r="B2087" s="122">
        <v>14702.49</v>
      </c>
    </row>
    <row r="2088" spans="1:2">
      <c r="A2088" s="121">
        <v>43132</v>
      </c>
      <c r="B2088" s="122">
        <v>15052.72</v>
      </c>
    </row>
    <row r="2089" spans="1:2">
      <c r="A2089" s="121">
        <v>43131</v>
      </c>
      <c r="B2089" s="122">
        <v>15065.82</v>
      </c>
    </row>
    <row r="2090" spans="1:2">
      <c r="A2090" s="121">
        <v>43130</v>
      </c>
      <c r="B2090" s="122">
        <v>15095.42</v>
      </c>
    </row>
    <row r="2091" spans="1:2">
      <c r="A2091" s="121">
        <v>43129</v>
      </c>
      <c r="B2091" s="122">
        <v>15204.42</v>
      </c>
    </row>
    <row r="2092" spans="1:2">
      <c r="A2092" s="121">
        <v>43125</v>
      </c>
      <c r="B2092" s="122">
        <v>15121</v>
      </c>
    </row>
    <row r="2093" spans="1:2">
      <c r="A2093" s="121">
        <v>43124</v>
      </c>
      <c r="B2093" s="122">
        <v>15143.35</v>
      </c>
    </row>
    <row r="2094" spans="1:2">
      <c r="A2094" s="121">
        <v>43123</v>
      </c>
      <c r="B2094" s="122">
        <v>15140.24</v>
      </c>
    </row>
    <row r="2095" spans="1:2">
      <c r="A2095" s="121">
        <v>43122</v>
      </c>
      <c r="B2095" s="122">
        <v>14979.72</v>
      </c>
    </row>
    <row r="2096" spans="1:2">
      <c r="A2096" s="121">
        <v>43119</v>
      </c>
      <c r="B2096" s="122">
        <v>14880.8</v>
      </c>
    </row>
    <row r="2097" spans="1:2">
      <c r="A2097" s="121">
        <v>43118</v>
      </c>
      <c r="B2097" s="122">
        <v>14774.67</v>
      </c>
    </row>
    <row r="2098" spans="1:2">
      <c r="A2098" s="121">
        <v>43117</v>
      </c>
      <c r="B2098" s="122">
        <v>14734.07</v>
      </c>
    </row>
    <row r="2099" spans="1:2">
      <c r="A2099" s="121">
        <v>43116</v>
      </c>
      <c r="B2099" s="122">
        <v>14613.79</v>
      </c>
    </row>
    <row r="2100" spans="1:2">
      <c r="A2100" s="121">
        <v>43115</v>
      </c>
      <c r="B2100" s="122">
        <v>14669.9</v>
      </c>
    </row>
    <row r="2101" spans="1:2">
      <c r="A2101" s="121">
        <v>43112</v>
      </c>
      <c r="B2101" s="122">
        <v>14587.54</v>
      </c>
    </row>
    <row r="2102" spans="1:2">
      <c r="A2102" s="121">
        <v>43111</v>
      </c>
      <c r="B2102" s="122">
        <v>14546.49</v>
      </c>
    </row>
    <row r="2103" spans="1:2">
      <c r="A2103" s="121">
        <v>43110</v>
      </c>
      <c r="B2103" s="122">
        <v>14520.56</v>
      </c>
    </row>
    <row r="2104" spans="1:2">
      <c r="A2104" s="121">
        <v>43109</v>
      </c>
      <c r="B2104" s="122">
        <v>14527.15</v>
      </c>
    </row>
    <row r="2105" spans="1:2">
      <c r="A2105" s="121">
        <v>43108</v>
      </c>
      <c r="B2105" s="122">
        <v>14508.81</v>
      </c>
    </row>
    <row r="2106" spans="1:2">
      <c r="A2106" s="121">
        <v>43105</v>
      </c>
      <c r="B2106" s="122">
        <v>14420.42</v>
      </c>
    </row>
    <row r="2107" spans="1:2">
      <c r="A2107" s="121">
        <v>43104</v>
      </c>
      <c r="B2107" s="122">
        <v>14346.59</v>
      </c>
    </row>
    <row r="2108" spans="1:2">
      <c r="A2108" s="121">
        <v>43103</v>
      </c>
      <c r="B2108" s="122">
        <v>14262.48</v>
      </c>
    </row>
    <row r="2109" spans="1:2">
      <c r="A2109" s="121">
        <v>43102</v>
      </c>
      <c r="B2109" s="122">
        <v>14261.1</v>
      </c>
    </row>
    <row r="2110" spans="1:2">
      <c r="A2110" s="121">
        <v>43101</v>
      </c>
      <c r="B2110" s="122">
        <v>14252.02</v>
      </c>
    </row>
    <row r="2111" spans="1:2">
      <c r="A2111" s="121">
        <v>43098</v>
      </c>
      <c r="B2111" s="122">
        <v>14381.92</v>
      </c>
    </row>
    <row r="2112" spans="1:2">
      <c r="A2112" s="121">
        <v>43097</v>
      </c>
      <c r="B2112" s="122">
        <v>14309.85</v>
      </c>
    </row>
    <row r="2113" spans="1:2">
      <c r="A2113" s="121">
        <v>43096</v>
      </c>
      <c r="B2113" s="122">
        <v>14327.42</v>
      </c>
    </row>
    <row r="2114" spans="1:2">
      <c r="A2114" s="121">
        <v>43095</v>
      </c>
      <c r="B2114" s="122">
        <v>14383.04</v>
      </c>
    </row>
    <row r="2115" spans="1:2">
      <c r="A2115" s="121">
        <v>43091</v>
      </c>
      <c r="B2115" s="122">
        <v>14330.49</v>
      </c>
    </row>
    <row r="2116" spans="1:2">
      <c r="A2116" s="121">
        <v>43090</v>
      </c>
      <c r="B2116" s="122">
        <v>14258.49</v>
      </c>
    </row>
    <row r="2117" spans="1:2">
      <c r="A2117" s="121">
        <v>43089</v>
      </c>
      <c r="B2117" s="122">
        <v>14263.81</v>
      </c>
    </row>
    <row r="2118" spans="1:2">
      <c r="A2118" s="121">
        <v>43088</v>
      </c>
      <c r="B2118" s="122">
        <v>14289.76</v>
      </c>
    </row>
    <row r="2119" spans="1:2">
      <c r="A2119" s="121">
        <v>43087</v>
      </c>
      <c r="B2119" s="122">
        <v>14188.11</v>
      </c>
    </row>
    <row r="2120" spans="1:2">
      <c r="A2120" s="121">
        <v>43084</v>
      </c>
      <c r="B2120" s="122">
        <v>14112.3</v>
      </c>
    </row>
    <row r="2121" spans="1:2">
      <c r="A2121" s="121">
        <v>43083</v>
      </c>
      <c r="B2121" s="122">
        <v>14001.49</v>
      </c>
    </row>
    <row r="2122" spans="1:2">
      <c r="A2122" s="121">
        <v>43082</v>
      </c>
      <c r="B2122" s="122">
        <v>13920.69</v>
      </c>
    </row>
    <row r="2123" spans="1:2">
      <c r="A2123" s="121">
        <v>43081</v>
      </c>
      <c r="B2123" s="122">
        <v>13985.11</v>
      </c>
    </row>
    <row r="2124" spans="1:2">
      <c r="A2124" s="121">
        <v>43080</v>
      </c>
      <c r="B2124" s="122">
        <v>14097.29</v>
      </c>
    </row>
    <row r="2125" spans="1:2">
      <c r="A2125" s="121">
        <v>43077</v>
      </c>
      <c r="B2125" s="122">
        <v>14019.95</v>
      </c>
    </row>
    <row r="2126" spans="1:2">
      <c r="A2126" s="121">
        <v>43076</v>
      </c>
      <c r="B2126" s="122">
        <v>13884.82</v>
      </c>
    </row>
    <row r="2127" spans="1:2">
      <c r="A2127" s="121">
        <v>43075</v>
      </c>
      <c r="B2127" s="122">
        <v>13717.36</v>
      </c>
    </row>
    <row r="2128" spans="1:2">
      <c r="A2128" s="121">
        <v>43074</v>
      </c>
      <c r="B2128" s="122">
        <v>13818.67</v>
      </c>
    </row>
    <row r="2129" spans="1:2">
      <c r="A2129" s="121">
        <v>43073</v>
      </c>
      <c r="B2129" s="122">
        <v>13831.66</v>
      </c>
    </row>
    <row r="2130" spans="1:2">
      <c r="A2130" s="121">
        <v>43070</v>
      </c>
      <c r="B2130" s="122">
        <v>13823.52</v>
      </c>
    </row>
    <row r="2131" spans="1:2">
      <c r="A2131" s="121">
        <v>43069</v>
      </c>
      <c r="B2131" s="122">
        <v>13966.58</v>
      </c>
    </row>
    <row r="2132" spans="1:2">
      <c r="A2132" s="121">
        <v>43068</v>
      </c>
      <c r="B2132" s="122">
        <v>14150.6</v>
      </c>
    </row>
    <row r="2133" spans="1:2">
      <c r="A2133" s="121">
        <v>43067</v>
      </c>
      <c r="B2133" s="122">
        <v>14162.79</v>
      </c>
    </row>
    <row r="2134" spans="1:2">
      <c r="A2134" s="121">
        <v>43066</v>
      </c>
      <c r="B2134" s="122">
        <v>14202.82</v>
      </c>
    </row>
    <row r="2135" spans="1:2">
      <c r="A2135" s="121">
        <v>43063</v>
      </c>
      <c r="B2135" s="122">
        <v>14189.41</v>
      </c>
    </row>
    <row r="2136" spans="1:2">
      <c r="A2136" s="121">
        <v>43062</v>
      </c>
      <c r="B2136" s="122">
        <v>14133.47</v>
      </c>
    </row>
    <row r="2137" spans="1:2">
      <c r="A2137" s="121">
        <v>43061</v>
      </c>
      <c r="B2137" s="122">
        <v>14124.68</v>
      </c>
    </row>
    <row r="2138" spans="1:2">
      <c r="A2138" s="121">
        <v>43060</v>
      </c>
      <c r="B2138" s="122">
        <v>14103.64</v>
      </c>
    </row>
    <row r="2139" spans="1:2">
      <c r="A2139" s="121">
        <v>43059</v>
      </c>
      <c r="B2139" s="122">
        <v>14065.05</v>
      </c>
    </row>
    <row r="2140" spans="1:2">
      <c r="A2140" s="121">
        <v>43056</v>
      </c>
      <c r="B2140" s="122">
        <v>14044.32</v>
      </c>
    </row>
    <row r="2141" spans="1:2">
      <c r="A2141" s="121">
        <v>43055</v>
      </c>
      <c r="B2141" s="122">
        <v>13950.33</v>
      </c>
    </row>
    <row r="2142" spans="1:2">
      <c r="A2142" s="121">
        <v>43054</v>
      </c>
      <c r="B2142" s="122">
        <v>13818.25</v>
      </c>
    </row>
    <row r="2143" spans="1:2">
      <c r="A2143" s="121">
        <v>43053</v>
      </c>
      <c r="B2143" s="122">
        <v>13911.87</v>
      </c>
    </row>
    <row r="2144" spans="1:2">
      <c r="A2144" s="121">
        <v>43052</v>
      </c>
      <c r="B2144" s="122">
        <v>13964.26</v>
      </c>
    </row>
    <row r="2145" spans="1:2">
      <c r="A2145" s="121">
        <v>43049</v>
      </c>
      <c r="B2145" s="122">
        <v>14096.45</v>
      </c>
    </row>
    <row r="2146" spans="1:2">
      <c r="A2146" s="121">
        <v>43048</v>
      </c>
      <c r="B2146" s="122">
        <v>14078.98</v>
      </c>
    </row>
    <row r="2147" spans="1:2">
      <c r="A2147" s="121">
        <v>43047</v>
      </c>
      <c r="B2147" s="122">
        <v>14071.02</v>
      </c>
    </row>
    <row r="2148" spans="1:2">
      <c r="A2148" s="121">
        <v>43046</v>
      </c>
      <c r="B2148" s="122">
        <v>14135.23</v>
      </c>
    </row>
    <row r="2149" spans="1:2">
      <c r="A2149" s="121">
        <v>43045</v>
      </c>
      <c r="B2149" s="122">
        <v>14274.03</v>
      </c>
    </row>
    <row r="2150" spans="1:2">
      <c r="A2150" s="121">
        <v>43042</v>
      </c>
      <c r="B2150" s="122">
        <v>14274.97</v>
      </c>
    </row>
    <row r="2151" spans="1:2">
      <c r="A2151" s="121">
        <v>43041</v>
      </c>
      <c r="B2151" s="122">
        <v>14232.79</v>
      </c>
    </row>
    <row r="2152" spans="1:2">
      <c r="A2152" s="121">
        <v>43040</v>
      </c>
      <c r="B2152" s="122">
        <v>14255.58</v>
      </c>
    </row>
    <row r="2153" spans="1:2">
      <c r="A2153" s="121">
        <v>43039</v>
      </c>
      <c r="B2153" s="122">
        <v>14108.55</v>
      </c>
    </row>
    <row r="2154" spans="1:2">
      <c r="A2154" s="121">
        <v>43038</v>
      </c>
      <c r="B2154" s="122">
        <v>14137.62</v>
      </c>
    </row>
    <row r="2155" spans="1:2">
      <c r="A2155" s="121">
        <v>43035</v>
      </c>
      <c r="B2155" s="122">
        <v>14082.21</v>
      </c>
    </row>
    <row r="2156" spans="1:2">
      <c r="A2156" s="121">
        <v>43034</v>
      </c>
      <c r="B2156" s="122">
        <v>14110.5</v>
      </c>
    </row>
    <row r="2157" spans="1:2">
      <c r="A2157" s="121">
        <v>43033</v>
      </c>
      <c r="B2157" s="122">
        <v>14044.44</v>
      </c>
    </row>
    <row r="2158" spans="1:2">
      <c r="A2158" s="121">
        <v>43032</v>
      </c>
      <c r="B2158" s="122">
        <v>13923.61</v>
      </c>
    </row>
    <row r="2159" spans="1:2">
      <c r="A2159" s="121">
        <v>43031</v>
      </c>
      <c r="B2159" s="122">
        <v>13892.48</v>
      </c>
    </row>
    <row r="2160" spans="1:2">
      <c r="A2160" s="121">
        <v>43027</v>
      </c>
      <c r="B2160" s="122">
        <v>13840.24</v>
      </c>
    </row>
    <row r="2161" spans="1:2">
      <c r="A2161" s="121">
        <v>43026</v>
      </c>
      <c r="B2161" s="122">
        <v>13927.92</v>
      </c>
    </row>
    <row r="2162" spans="1:2">
      <c r="A2162" s="121">
        <v>43025</v>
      </c>
      <c r="B2162" s="122">
        <v>13960.09</v>
      </c>
    </row>
    <row r="2163" spans="1:2">
      <c r="A2163" s="121">
        <v>43024</v>
      </c>
      <c r="B2163" s="122">
        <v>13955.22</v>
      </c>
    </row>
    <row r="2164" spans="1:2">
      <c r="A2164" s="121">
        <v>43021</v>
      </c>
      <c r="B2164" s="122">
        <v>13868.7</v>
      </c>
    </row>
    <row r="2165" spans="1:2">
      <c r="A2165" s="121">
        <v>43020</v>
      </c>
      <c r="B2165" s="122">
        <v>13771.84</v>
      </c>
    </row>
    <row r="2166" spans="1:2">
      <c r="A2166" s="121">
        <v>43019</v>
      </c>
      <c r="B2166" s="122">
        <v>13619.62</v>
      </c>
    </row>
    <row r="2167" spans="1:2">
      <c r="A2167" s="121">
        <v>43018</v>
      </c>
      <c r="B2167" s="122">
        <v>13663.44</v>
      </c>
    </row>
    <row r="2168" spans="1:2">
      <c r="A2168" s="121">
        <v>43017</v>
      </c>
      <c r="B2168" s="122">
        <v>13625</v>
      </c>
    </row>
    <row r="2169" spans="1:2">
      <c r="A2169" s="121">
        <v>43014</v>
      </c>
      <c r="B2169" s="122">
        <v>13612.63</v>
      </c>
    </row>
    <row r="2170" spans="1:2">
      <c r="A2170" s="121">
        <v>43013</v>
      </c>
      <c r="B2170" s="122">
        <v>13488.48</v>
      </c>
    </row>
    <row r="2171" spans="1:2">
      <c r="A2171" s="121">
        <v>43012</v>
      </c>
      <c r="B2171" s="122">
        <v>13524.27</v>
      </c>
    </row>
    <row r="2172" spans="1:2">
      <c r="A2172" s="121">
        <v>43011</v>
      </c>
      <c r="B2172" s="122">
        <v>13448.66</v>
      </c>
    </row>
    <row r="2173" spans="1:2">
      <c r="A2173" s="121">
        <v>43007</v>
      </c>
      <c r="B2173" s="122">
        <v>13351.99</v>
      </c>
    </row>
    <row r="2174" spans="1:2">
      <c r="A2174" s="121">
        <v>43006</v>
      </c>
      <c r="B2174" s="122">
        <v>13325.16</v>
      </c>
    </row>
    <row r="2175" spans="1:2">
      <c r="A2175" s="121">
        <v>43005</v>
      </c>
      <c r="B2175" s="122">
        <v>13279.85</v>
      </c>
    </row>
    <row r="2176" spans="1:2">
      <c r="A2176" s="121">
        <v>43004</v>
      </c>
      <c r="B2176" s="122">
        <v>13465.07</v>
      </c>
    </row>
    <row r="2177" spans="1:2">
      <c r="A2177" s="121">
        <v>43003</v>
      </c>
      <c r="B2177" s="122">
        <v>13466.53</v>
      </c>
    </row>
    <row r="2178" spans="1:2">
      <c r="A2178" s="121">
        <v>43000</v>
      </c>
      <c r="B2178" s="122">
        <v>13591.79</v>
      </c>
    </row>
    <row r="2179" spans="1:2">
      <c r="A2179" s="121">
        <v>42999</v>
      </c>
      <c r="B2179" s="122">
        <v>13806.6</v>
      </c>
    </row>
    <row r="2180" spans="1:2">
      <c r="A2180" s="121">
        <v>42998</v>
      </c>
      <c r="B2180" s="122">
        <v>13832.04</v>
      </c>
    </row>
    <row r="2181" spans="1:2">
      <c r="A2181" s="121">
        <v>42997</v>
      </c>
      <c r="B2181" s="122">
        <v>13840.78</v>
      </c>
    </row>
    <row r="2182" spans="1:2">
      <c r="A2182" s="121">
        <v>42996</v>
      </c>
      <c r="B2182" s="122">
        <v>13848.34</v>
      </c>
    </row>
    <row r="2183" spans="1:2">
      <c r="A2183" s="121">
        <v>42993</v>
      </c>
      <c r="B2183" s="122">
        <v>13754.62</v>
      </c>
    </row>
    <row r="2184" spans="1:2">
      <c r="A2184" s="121">
        <v>42992</v>
      </c>
      <c r="B2184" s="122">
        <v>13756.28</v>
      </c>
    </row>
    <row r="2185" spans="1:2">
      <c r="A2185" s="121">
        <v>42991</v>
      </c>
      <c r="B2185" s="122">
        <v>13746.3</v>
      </c>
    </row>
    <row r="2186" spans="1:2">
      <c r="A2186" s="121">
        <v>42990</v>
      </c>
      <c r="B2186" s="122">
        <v>13765.03</v>
      </c>
    </row>
    <row r="2187" spans="1:2">
      <c r="A2187" s="121">
        <v>42989</v>
      </c>
      <c r="B2187" s="122">
        <v>13646.37</v>
      </c>
    </row>
    <row r="2188" spans="1:2">
      <c r="A2188" s="121">
        <v>42986</v>
      </c>
      <c r="B2188" s="122">
        <v>13546.57</v>
      </c>
    </row>
    <row r="2189" spans="1:2">
      <c r="A2189" s="121">
        <v>42985</v>
      </c>
      <c r="B2189" s="122">
        <v>13539.91</v>
      </c>
    </row>
    <row r="2190" spans="1:2">
      <c r="A2190" s="121">
        <v>42984</v>
      </c>
      <c r="B2190" s="122">
        <v>13519.3</v>
      </c>
    </row>
    <row r="2191" spans="1:2">
      <c r="A2191" s="121">
        <v>42983</v>
      </c>
      <c r="B2191" s="122">
        <v>13568.38</v>
      </c>
    </row>
    <row r="2192" spans="1:2">
      <c r="A2192" s="121">
        <v>42982</v>
      </c>
      <c r="B2192" s="122">
        <v>13514.16</v>
      </c>
    </row>
    <row r="2193" spans="1:2">
      <c r="A2193" s="121">
        <v>42979</v>
      </c>
      <c r="B2193" s="122">
        <v>13598.09</v>
      </c>
    </row>
    <row r="2194" spans="1:2">
      <c r="A2194" s="121">
        <v>42978</v>
      </c>
      <c r="B2194" s="122">
        <v>13521.03</v>
      </c>
    </row>
    <row r="2195" spans="1:2">
      <c r="A2195" s="121">
        <v>42977</v>
      </c>
      <c r="B2195" s="122">
        <v>13474.73</v>
      </c>
    </row>
    <row r="2196" spans="1:2">
      <c r="A2196" s="121">
        <v>42976</v>
      </c>
      <c r="B2196" s="122">
        <v>13354.29</v>
      </c>
    </row>
    <row r="2197" spans="1:2">
      <c r="A2197" s="121">
        <v>42975</v>
      </c>
      <c r="B2197" s="122">
        <v>13513.48</v>
      </c>
    </row>
    <row r="2198" spans="1:2">
      <c r="A2198" s="121">
        <v>42971</v>
      </c>
      <c r="B2198" s="122">
        <v>13437.45</v>
      </c>
    </row>
    <row r="2199" spans="1:2">
      <c r="A2199" s="121">
        <v>42970</v>
      </c>
      <c r="B2199" s="122">
        <v>13427.67</v>
      </c>
    </row>
    <row r="2200" spans="1:2">
      <c r="A2200" s="121">
        <v>42969</v>
      </c>
      <c r="B2200" s="122">
        <v>13309.14</v>
      </c>
    </row>
    <row r="2201" spans="1:2">
      <c r="A2201" s="121">
        <v>42968</v>
      </c>
      <c r="B2201" s="122">
        <v>13293.88</v>
      </c>
    </row>
    <row r="2202" spans="1:2">
      <c r="A2202" s="121">
        <v>42965</v>
      </c>
      <c r="B2202" s="122">
        <v>13407.07</v>
      </c>
    </row>
    <row r="2203" spans="1:2">
      <c r="A2203" s="121">
        <v>42964</v>
      </c>
      <c r="B2203" s="122">
        <v>13497.69</v>
      </c>
    </row>
    <row r="2204" spans="1:2">
      <c r="A2204" s="121">
        <v>42963</v>
      </c>
      <c r="B2204" s="122">
        <v>13488.33</v>
      </c>
    </row>
    <row r="2205" spans="1:2">
      <c r="A2205" s="121">
        <v>42961</v>
      </c>
      <c r="B2205" s="122">
        <v>13347.75</v>
      </c>
    </row>
    <row r="2206" spans="1:2">
      <c r="A2206" s="121">
        <v>42958</v>
      </c>
      <c r="B2206" s="122">
        <v>13234.2</v>
      </c>
    </row>
    <row r="2207" spans="1:2">
      <c r="A2207" s="121">
        <v>42957</v>
      </c>
      <c r="B2207" s="122">
        <v>13377.05</v>
      </c>
    </row>
    <row r="2208" spans="1:2">
      <c r="A2208" s="121">
        <v>42956</v>
      </c>
      <c r="B2208" s="122">
        <v>13495.81</v>
      </c>
    </row>
    <row r="2209" spans="1:2">
      <c r="A2209" s="121">
        <v>42955</v>
      </c>
      <c r="B2209" s="122">
        <v>13591.81</v>
      </c>
    </row>
    <row r="2210" spans="1:2">
      <c r="A2210" s="121">
        <v>42954</v>
      </c>
      <c r="B2210" s="122">
        <v>13699.21</v>
      </c>
    </row>
    <row r="2211" spans="1:2">
      <c r="A2211" s="121">
        <v>42951</v>
      </c>
      <c r="B2211" s="122">
        <v>13711.47</v>
      </c>
    </row>
    <row r="2212" spans="1:2">
      <c r="A2212" s="121">
        <v>42950</v>
      </c>
      <c r="B2212" s="122">
        <v>13639.66</v>
      </c>
    </row>
    <row r="2213" spans="1:2">
      <c r="A2213" s="121">
        <v>42949</v>
      </c>
      <c r="B2213" s="122">
        <v>13731.63</v>
      </c>
    </row>
    <row r="2214" spans="1:2">
      <c r="A2214" s="121">
        <v>42948</v>
      </c>
      <c r="B2214" s="122">
        <v>13775.33</v>
      </c>
    </row>
    <row r="2215" spans="1:2">
      <c r="A2215" s="121">
        <v>42947</v>
      </c>
      <c r="B2215" s="122">
        <v>13724.19</v>
      </c>
    </row>
    <row r="2216" spans="1:2">
      <c r="A2216" s="121">
        <v>42944</v>
      </c>
      <c r="B2216" s="122">
        <v>13638.1</v>
      </c>
    </row>
    <row r="2217" spans="1:2">
      <c r="A2217" s="121">
        <v>42943</v>
      </c>
      <c r="B2217" s="122">
        <v>13646.34</v>
      </c>
    </row>
    <row r="2218" spans="1:2">
      <c r="A2218" s="121">
        <v>42942</v>
      </c>
      <c r="B2218" s="122">
        <v>13644.46</v>
      </c>
    </row>
    <row r="2219" spans="1:2">
      <c r="A2219" s="121">
        <v>42941</v>
      </c>
      <c r="B2219" s="122">
        <v>13567.66</v>
      </c>
    </row>
    <row r="2220" spans="1:2">
      <c r="A2220" s="121">
        <v>42940</v>
      </c>
      <c r="B2220" s="122">
        <v>13569.88</v>
      </c>
    </row>
    <row r="2221" spans="1:2">
      <c r="A2221" s="121">
        <v>42937</v>
      </c>
      <c r="B2221" s="122">
        <v>13498.25</v>
      </c>
    </row>
    <row r="2222" spans="1:2">
      <c r="A2222" s="121">
        <v>42936</v>
      </c>
      <c r="B2222" s="122">
        <v>13441.11</v>
      </c>
    </row>
    <row r="2223" spans="1:2">
      <c r="A2223" s="121">
        <v>42935</v>
      </c>
      <c r="B2223" s="122">
        <v>13473.52</v>
      </c>
    </row>
    <row r="2224" spans="1:2">
      <c r="A2224" s="121">
        <v>42934</v>
      </c>
      <c r="B2224" s="122">
        <v>13374.92</v>
      </c>
    </row>
    <row r="2225" spans="1:2">
      <c r="A2225" s="121">
        <v>42933</v>
      </c>
      <c r="B2225" s="122">
        <v>13494.64</v>
      </c>
    </row>
    <row r="2226" spans="1:2">
      <c r="A2226" s="121">
        <v>42930</v>
      </c>
      <c r="B2226" s="122">
        <v>13453.49</v>
      </c>
    </row>
    <row r="2227" spans="1:2">
      <c r="A2227" s="121">
        <v>42929</v>
      </c>
      <c r="B2227" s="122">
        <v>13452.22</v>
      </c>
    </row>
    <row r="2228" spans="1:2">
      <c r="A2228" s="121">
        <v>42928</v>
      </c>
      <c r="B2228" s="122">
        <v>13340.24</v>
      </c>
    </row>
    <row r="2229" spans="1:2">
      <c r="A2229" s="121">
        <v>42927</v>
      </c>
      <c r="B2229" s="122">
        <v>13299.17</v>
      </c>
    </row>
    <row r="2230" spans="1:2">
      <c r="A2230" s="121">
        <v>42926</v>
      </c>
      <c r="B2230" s="122">
        <v>13278.81</v>
      </c>
    </row>
    <row r="2231" spans="1:2">
      <c r="A2231" s="121">
        <v>42923</v>
      </c>
      <c r="B2231" s="122">
        <v>13135.35</v>
      </c>
    </row>
    <row r="2232" spans="1:2">
      <c r="A2232" s="121">
        <v>42922</v>
      </c>
      <c r="B2232" s="122">
        <v>13147.27</v>
      </c>
    </row>
    <row r="2233" spans="1:2">
      <c r="A2233" s="121">
        <v>42921</v>
      </c>
      <c r="B2233" s="122">
        <v>13091.36</v>
      </c>
    </row>
    <row r="2234" spans="1:2">
      <c r="A2234" s="121">
        <v>42920</v>
      </c>
      <c r="B2234" s="122">
        <v>13057.86</v>
      </c>
    </row>
    <row r="2235" spans="1:2">
      <c r="A2235" s="121">
        <v>42919</v>
      </c>
      <c r="B2235" s="122">
        <v>13060.15</v>
      </c>
    </row>
    <row r="2236" spans="1:2">
      <c r="A2236" s="121">
        <v>42916</v>
      </c>
      <c r="B2236" s="122">
        <v>12932.33</v>
      </c>
    </row>
    <row r="2237" spans="1:2">
      <c r="A2237" s="121">
        <v>42915</v>
      </c>
      <c r="B2237" s="122">
        <v>12908.13</v>
      </c>
    </row>
    <row r="2238" spans="1:2">
      <c r="A2238" s="121">
        <v>42914</v>
      </c>
      <c r="B2238" s="122">
        <v>12882.7</v>
      </c>
    </row>
    <row r="2239" spans="1:2">
      <c r="A2239" s="121">
        <v>42913</v>
      </c>
      <c r="B2239" s="122">
        <v>12910.01</v>
      </c>
    </row>
    <row r="2240" spans="1:2">
      <c r="A2240" s="121">
        <v>42909</v>
      </c>
      <c r="B2240" s="122">
        <v>12996.3</v>
      </c>
    </row>
    <row r="2241" spans="1:2">
      <c r="A2241" s="121">
        <v>42908</v>
      </c>
      <c r="B2241" s="122">
        <v>13070.98</v>
      </c>
    </row>
    <row r="2242" spans="1:2">
      <c r="A2242" s="121">
        <v>42907</v>
      </c>
      <c r="B2242" s="122">
        <v>13072.91</v>
      </c>
    </row>
    <row r="2243" spans="1:2">
      <c r="A2243" s="121">
        <v>42906</v>
      </c>
      <c r="B2243" s="122">
        <v>13099.92</v>
      </c>
    </row>
    <row r="2244" spans="1:2">
      <c r="A2244" s="121">
        <v>42905</v>
      </c>
      <c r="B2244" s="122">
        <v>13100.15</v>
      </c>
    </row>
    <row r="2245" spans="1:2">
      <c r="A2245" s="121">
        <v>42902</v>
      </c>
      <c r="B2245" s="122">
        <v>13005.86</v>
      </c>
    </row>
    <row r="2246" spans="1:2">
      <c r="A2246" s="121">
        <v>42901</v>
      </c>
      <c r="B2246" s="122">
        <v>12992.34</v>
      </c>
    </row>
    <row r="2247" spans="1:2">
      <c r="A2247" s="121">
        <v>42900</v>
      </c>
      <c r="B2247" s="122">
        <v>13045.44</v>
      </c>
    </row>
    <row r="2248" spans="1:2">
      <c r="A2248" s="121">
        <v>42899</v>
      </c>
      <c r="B2248" s="122">
        <v>13030.22</v>
      </c>
    </row>
    <row r="2249" spans="1:2">
      <c r="A2249" s="121">
        <v>42898</v>
      </c>
      <c r="B2249" s="122">
        <v>13037.83</v>
      </c>
    </row>
    <row r="2250" spans="1:2">
      <c r="A2250" s="121">
        <v>42895</v>
      </c>
      <c r="B2250" s="122">
        <v>13108.12</v>
      </c>
    </row>
    <row r="2251" spans="1:2">
      <c r="A2251" s="121">
        <v>42894</v>
      </c>
      <c r="B2251" s="122">
        <v>13079.63</v>
      </c>
    </row>
    <row r="2252" spans="1:2">
      <c r="A2252" s="121">
        <v>42893</v>
      </c>
      <c r="B2252" s="122">
        <v>13101.62</v>
      </c>
    </row>
    <row r="2253" spans="1:2">
      <c r="A2253" s="121">
        <v>42892</v>
      </c>
      <c r="B2253" s="122">
        <v>13065.33</v>
      </c>
    </row>
    <row r="2254" spans="1:2">
      <c r="A2254" s="121">
        <v>42891</v>
      </c>
      <c r="B2254" s="122">
        <v>13116.78</v>
      </c>
    </row>
    <row r="2255" spans="1:2">
      <c r="A2255" s="121">
        <v>42888</v>
      </c>
      <c r="B2255" s="122">
        <v>13072.98</v>
      </c>
    </row>
    <row r="2256" spans="1:2">
      <c r="A2256" s="121">
        <v>42887</v>
      </c>
      <c r="B2256" s="122">
        <v>13022.35</v>
      </c>
    </row>
    <row r="2257" spans="1:2">
      <c r="A2257" s="121">
        <v>42886</v>
      </c>
      <c r="B2257" s="122">
        <v>13018.69</v>
      </c>
    </row>
    <row r="2258" spans="1:2">
      <c r="A2258" s="121">
        <v>42885</v>
      </c>
      <c r="B2258" s="122">
        <v>13023.19</v>
      </c>
    </row>
    <row r="2259" spans="1:2">
      <c r="A2259" s="121">
        <v>42884</v>
      </c>
      <c r="B2259" s="122">
        <v>12996.61</v>
      </c>
    </row>
    <row r="2260" spans="1:2">
      <c r="A2260" s="121">
        <v>42881</v>
      </c>
      <c r="B2260" s="122">
        <v>12981.79</v>
      </c>
    </row>
    <row r="2261" spans="1:2">
      <c r="A2261" s="121">
        <v>42880</v>
      </c>
      <c r="B2261" s="122">
        <v>12863.38</v>
      </c>
    </row>
    <row r="2262" spans="1:2">
      <c r="A2262" s="121">
        <v>42879</v>
      </c>
      <c r="B2262" s="122">
        <v>12661.62</v>
      </c>
    </row>
    <row r="2263" spans="1:2">
      <c r="A2263" s="121">
        <v>42878</v>
      </c>
      <c r="B2263" s="122">
        <v>12695.02</v>
      </c>
    </row>
    <row r="2264" spans="1:2">
      <c r="A2264" s="121">
        <v>42877</v>
      </c>
      <c r="B2264" s="122">
        <v>12765.48</v>
      </c>
    </row>
    <row r="2265" spans="1:2">
      <c r="A2265" s="121">
        <v>42874</v>
      </c>
      <c r="B2265" s="122">
        <v>12751.43</v>
      </c>
    </row>
    <row r="2266" spans="1:2">
      <c r="A2266" s="121">
        <v>42873</v>
      </c>
      <c r="B2266" s="122">
        <v>12753.55</v>
      </c>
    </row>
    <row r="2267" spans="1:2">
      <c r="A2267" s="121">
        <v>42872</v>
      </c>
      <c r="B2267" s="122">
        <v>12883.83</v>
      </c>
    </row>
    <row r="2268" spans="1:2">
      <c r="A2268" s="121">
        <v>42871</v>
      </c>
      <c r="B2268" s="122">
        <v>12865.56</v>
      </c>
    </row>
    <row r="2269" spans="1:2">
      <c r="A2269" s="121">
        <v>42870</v>
      </c>
      <c r="B2269" s="122">
        <v>12775.11</v>
      </c>
    </row>
    <row r="2270" spans="1:2">
      <c r="A2270" s="121">
        <v>42867</v>
      </c>
      <c r="B2270" s="122">
        <v>12714.97</v>
      </c>
    </row>
    <row r="2271" spans="1:2">
      <c r="A2271" s="121">
        <v>42866</v>
      </c>
      <c r="B2271" s="122">
        <v>12743.99</v>
      </c>
    </row>
    <row r="2272" spans="1:2">
      <c r="A2272" s="121">
        <v>42865</v>
      </c>
      <c r="B2272" s="122">
        <v>12723.6</v>
      </c>
    </row>
    <row r="2273" spans="1:2">
      <c r="A2273" s="121">
        <v>42864</v>
      </c>
      <c r="B2273" s="122">
        <v>12601.23</v>
      </c>
    </row>
    <row r="2274" spans="1:2">
      <c r="A2274" s="121">
        <v>42863</v>
      </c>
      <c r="B2274" s="122">
        <v>12597.5</v>
      </c>
    </row>
    <row r="2275" spans="1:2">
      <c r="A2275" s="121">
        <v>42860</v>
      </c>
      <c r="B2275" s="122">
        <v>12558.6</v>
      </c>
    </row>
    <row r="2276" spans="1:2">
      <c r="A2276" s="121">
        <v>42859</v>
      </c>
      <c r="B2276" s="122">
        <v>12659.51</v>
      </c>
    </row>
    <row r="2277" spans="1:2">
      <c r="A2277" s="121">
        <v>42858</v>
      </c>
      <c r="B2277" s="122">
        <v>12593.58</v>
      </c>
    </row>
    <row r="2278" spans="1:2">
      <c r="A2278" s="121">
        <v>42857</v>
      </c>
      <c r="B2278" s="122">
        <v>12596.08</v>
      </c>
    </row>
    <row r="2279" spans="1:2">
      <c r="A2279" s="121">
        <v>42853</v>
      </c>
      <c r="B2279" s="122">
        <v>12582.88</v>
      </c>
    </row>
    <row r="2280" spans="1:2">
      <c r="A2280" s="121">
        <v>42852</v>
      </c>
      <c r="B2280" s="122">
        <v>12634.41</v>
      </c>
    </row>
    <row r="2281" spans="1:2">
      <c r="A2281" s="121">
        <v>42851</v>
      </c>
      <c r="B2281" s="122">
        <v>12647.53</v>
      </c>
    </row>
    <row r="2282" spans="1:2">
      <c r="A2282" s="121">
        <v>42850</v>
      </c>
      <c r="B2282" s="122">
        <v>12586.34</v>
      </c>
    </row>
    <row r="2283" spans="1:2">
      <c r="A2283" s="121">
        <v>42849</v>
      </c>
      <c r="B2283" s="122">
        <v>12466.46</v>
      </c>
    </row>
    <row r="2284" spans="1:2">
      <c r="A2284" s="121">
        <v>42846</v>
      </c>
      <c r="B2284" s="122">
        <v>12333.17</v>
      </c>
    </row>
    <row r="2285" spans="1:2">
      <c r="A2285" s="121">
        <v>42845</v>
      </c>
      <c r="B2285" s="122">
        <v>12356.2</v>
      </c>
    </row>
    <row r="2286" spans="1:2">
      <c r="A2286" s="121">
        <v>42844</v>
      </c>
      <c r="B2286" s="122">
        <v>12311.67</v>
      </c>
    </row>
    <row r="2287" spans="1:2">
      <c r="A2287" s="121">
        <v>42843</v>
      </c>
      <c r="B2287" s="122">
        <v>12313.9</v>
      </c>
    </row>
    <row r="2288" spans="1:2">
      <c r="A2288" s="121">
        <v>42842</v>
      </c>
      <c r="B2288" s="122">
        <v>12360.11</v>
      </c>
    </row>
    <row r="2289" spans="1:2">
      <c r="A2289" s="121">
        <v>42838</v>
      </c>
      <c r="B2289" s="122">
        <v>12375.68</v>
      </c>
    </row>
    <row r="2290" spans="1:2">
      <c r="A2290" s="121">
        <v>42837</v>
      </c>
      <c r="B2290" s="122">
        <v>12446.84</v>
      </c>
    </row>
    <row r="2291" spans="1:2">
      <c r="A2291" s="121">
        <v>42836</v>
      </c>
      <c r="B2291" s="122">
        <v>12492.24</v>
      </c>
    </row>
    <row r="2292" spans="1:2">
      <c r="A2292" s="121">
        <v>42835</v>
      </c>
      <c r="B2292" s="122">
        <v>12417.07</v>
      </c>
    </row>
    <row r="2293" spans="1:2">
      <c r="A2293" s="121">
        <v>42832</v>
      </c>
      <c r="B2293" s="122">
        <v>12439.9</v>
      </c>
    </row>
    <row r="2294" spans="1:2">
      <c r="A2294" s="121">
        <v>42831</v>
      </c>
      <c r="B2294" s="122">
        <v>12525.97</v>
      </c>
    </row>
    <row r="2295" spans="1:2">
      <c r="A2295" s="121">
        <v>42830</v>
      </c>
      <c r="B2295" s="122">
        <v>12530.31</v>
      </c>
    </row>
    <row r="2296" spans="1:2">
      <c r="A2296" s="121">
        <v>42828</v>
      </c>
      <c r="B2296" s="122">
        <v>12493.39</v>
      </c>
    </row>
    <row r="2297" spans="1:2">
      <c r="A2297" s="121">
        <v>42825</v>
      </c>
      <c r="B2297" s="122">
        <v>12406.69</v>
      </c>
    </row>
    <row r="2298" spans="1:2">
      <c r="A2298" s="121">
        <v>42824</v>
      </c>
      <c r="B2298" s="122">
        <v>12404.41</v>
      </c>
    </row>
    <row r="2299" spans="1:2">
      <c r="A2299" s="121">
        <v>42823</v>
      </c>
      <c r="B2299" s="122">
        <v>12363.95</v>
      </c>
    </row>
    <row r="2300" spans="1:2">
      <c r="A2300" s="121">
        <v>42822</v>
      </c>
      <c r="B2300" s="122">
        <v>12305.77</v>
      </c>
    </row>
    <row r="2301" spans="1:2">
      <c r="A2301" s="121">
        <v>42821</v>
      </c>
      <c r="B2301" s="122">
        <v>12230.63</v>
      </c>
    </row>
    <row r="2302" spans="1:2">
      <c r="A2302" s="121">
        <v>42818</v>
      </c>
      <c r="B2302" s="122">
        <v>12314.98</v>
      </c>
    </row>
    <row r="2303" spans="1:2">
      <c r="A2303" s="121">
        <v>42817</v>
      </c>
      <c r="B2303" s="122">
        <v>12283.35</v>
      </c>
    </row>
    <row r="2304" spans="1:2">
      <c r="A2304" s="121">
        <v>42816</v>
      </c>
      <c r="B2304" s="122">
        <v>12207.85</v>
      </c>
    </row>
    <row r="2305" spans="1:2">
      <c r="A2305" s="121">
        <v>42815</v>
      </c>
      <c r="B2305" s="122">
        <v>12330.92</v>
      </c>
    </row>
    <row r="2306" spans="1:2">
      <c r="A2306" s="121">
        <v>42814</v>
      </c>
      <c r="B2306" s="122">
        <v>12338.14</v>
      </c>
    </row>
    <row r="2307" spans="1:2">
      <c r="A2307" s="121">
        <v>42811</v>
      </c>
      <c r="B2307" s="122">
        <v>12383.04</v>
      </c>
    </row>
    <row r="2308" spans="1:2">
      <c r="A2308" s="121">
        <v>42810</v>
      </c>
      <c r="B2308" s="122">
        <v>12374.48</v>
      </c>
    </row>
    <row r="2309" spans="1:2">
      <c r="A2309" s="121">
        <v>42809</v>
      </c>
      <c r="B2309" s="122">
        <v>12278.23</v>
      </c>
    </row>
    <row r="2310" spans="1:2">
      <c r="A2310" s="121">
        <v>42808</v>
      </c>
      <c r="B2310" s="122">
        <v>12281.22</v>
      </c>
    </row>
    <row r="2311" spans="1:2">
      <c r="A2311" s="121">
        <v>42804</v>
      </c>
      <c r="B2311" s="122">
        <v>12066.4</v>
      </c>
    </row>
    <row r="2312" spans="1:2">
      <c r="A2312" s="121">
        <v>42803</v>
      </c>
      <c r="B2312" s="122">
        <v>12056.17</v>
      </c>
    </row>
    <row r="2313" spans="1:2">
      <c r="A2313" s="121">
        <v>42802</v>
      </c>
      <c r="B2313" s="122">
        <v>12050.77</v>
      </c>
    </row>
    <row r="2314" spans="1:2">
      <c r="A2314" s="121">
        <v>42801</v>
      </c>
      <c r="B2314" s="122">
        <v>12081.34</v>
      </c>
    </row>
    <row r="2315" spans="1:2">
      <c r="A2315" s="121">
        <v>42800</v>
      </c>
      <c r="B2315" s="122">
        <v>12103.68</v>
      </c>
    </row>
    <row r="2316" spans="1:2">
      <c r="A2316" s="121">
        <v>42797</v>
      </c>
      <c r="B2316" s="122">
        <v>12014.7</v>
      </c>
    </row>
    <row r="2317" spans="1:2">
      <c r="A2317" s="121">
        <v>42796</v>
      </c>
      <c r="B2317" s="122">
        <v>12017.63</v>
      </c>
    </row>
    <row r="2318" spans="1:2">
      <c r="A2318" s="121">
        <v>42795</v>
      </c>
      <c r="B2318" s="122">
        <v>12079.8</v>
      </c>
    </row>
    <row r="2319" spans="1:2">
      <c r="A2319" s="121">
        <v>42794</v>
      </c>
      <c r="B2319" s="122">
        <v>11990.44</v>
      </c>
    </row>
    <row r="2320" spans="1:2">
      <c r="A2320" s="121">
        <v>42793</v>
      </c>
      <c r="B2320" s="122">
        <v>12009.8</v>
      </c>
    </row>
    <row r="2321" spans="1:2">
      <c r="A2321" s="121">
        <v>42789</v>
      </c>
      <c r="B2321" s="122">
        <v>12067.61</v>
      </c>
    </row>
    <row r="2322" spans="1:2">
      <c r="A2322" s="121">
        <v>42788</v>
      </c>
      <c r="B2322" s="122">
        <v>12050.54</v>
      </c>
    </row>
    <row r="2323" spans="1:2">
      <c r="A2323" s="121">
        <v>42787</v>
      </c>
      <c r="B2323" s="122">
        <v>12024.88</v>
      </c>
    </row>
    <row r="2324" spans="1:2">
      <c r="A2324" s="121">
        <v>42786</v>
      </c>
      <c r="B2324" s="122">
        <v>11986.21</v>
      </c>
    </row>
    <row r="2325" spans="1:2">
      <c r="A2325" s="121">
        <v>42783</v>
      </c>
      <c r="B2325" s="122">
        <v>11908.56</v>
      </c>
    </row>
    <row r="2326" spans="1:2">
      <c r="A2326" s="121">
        <v>42782</v>
      </c>
      <c r="B2326" s="122">
        <v>11849.55</v>
      </c>
    </row>
    <row r="2327" spans="1:2">
      <c r="A2327" s="121">
        <v>42781</v>
      </c>
      <c r="B2327" s="122">
        <v>11776.57</v>
      </c>
    </row>
    <row r="2328" spans="1:2">
      <c r="A2328" s="121">
        <v>42780</v>
      </c>
      <c r="B2328" s="122">
        <v>11865.43</v>
      </c>
    </row>
    <row r="2329" spans="1:2">
      <c r="A2329" s="121">
        <v>42779</v>
      </c>
      <c r="B2329" s="122">
        <v>11882.38</v>
      </c>
    </row>
    <row r="2330" spans="1:2">
      <c r="A2330" s="121">
        <v>42776</v>
      </c>
      <c r="B2330" s="122">
        <v>11866.82</v>
      </c>
    </row>
    <row r="2331" spans="1:2">
      <c r="A2331" s="121">
        <v>42775</v>
      </c>
      <c r="B2331" s="122">
        <v>11846.42</v>
      </c>
    </row>
    <row r="2332" spans="1:2">
      <c r="A2332" s="121">
        <v>42774</v>
      </c>
      <c r="B2332" s="122">
        <v>11833.8</v>
      </c>
    </row>
    <row r="2333" spans="1:2">
      <c r="A2333" s="121">
        <v>42773</v>
      </c>
      <c r="B2333" s="122">
        <v>11832.78</v>
      </c>
    </row>
    <row r="2334" spans="1:2">
      <c r="A2334" s="121">
        <v>42772</v>
      </c>
      <c r="B2334" s="122">
        <v>11874.73</v>
      </c>
    </row>
    <row r="2335" spans="1:2">
      <c r="A2335" s="121">
        <v>42769</v>
      </c>
      <c r="B2335" s="122">
        <v>11793.62</v>
      </c>
    </row>
    <row r="2336" spans="1:2">
      <c r="A2336" s="121">
        <v>42768</v>
      </c>
      <c r="B2336" s="122">
        <v>11784.61</v>
      </c>
    </row>
    <row r="2337" spans="1:2">
      <c r="A2337" s="121">
        <v>42767</v>
      </c>
      <c r="B2337" s="122">
        <v>11758.63</v>
      </c>
    </row>
    <row r="2338" spans="1:2">
      <c r="A2338" s="121">
        <v>42766</v>
      </c>
      <c r="B2338" s="122">
        <v>11548.15</v>
      </c>
    </row>
    <row r="2339" spans="1:2">
      <c r="A2339" s="121">
        <v>42765</v>
      </c>
      <c r="B2339" s="122">
        <v>11644.53</v>
      </c>
    </row>
    <row r="2340" spans="1:2">
      <c r="A2340" s="121">
        <v>42762</v>
      </c>
      <c r="B2340" s="122">
        <v>11656</v>
      </c>
    </row>
    <row r="2341" spans="1:2">
      <c r="A2341" s="121">
        <v>42760</v>
      </c>
      <c r="B2341" s="122">
        <v>11604.09</v>
      </c>
    </row>
    <row r="2342" spans="1:2">
      <c r="A2342" s="121">
        <v>42759</v>
      </c>
      <c r="B2342" s="122">
        <v>11432.83</v>
      </c>
    </row>
    <row r="2343" spans="1:2">
      <c r="A2343" s="121">
        <v>42758</v>
      </c>
      <c r="B2343" s="122">
        <v>11319.09</v>
      </c>
    </row>
    <row r="2344" spans="1:2">
      <c r="A2344" s="121">
        <v>42755</v>
      </c>
      <c r="B2344" s="122">
        <v>11260.99</v>
      </c>
    </row>
    <row r="2345" spans="1:2">
      <c r="A2345" s="121">
        <v>42754</v>
      </c>
      <c r="B2345" s="122">
        <v>11376.62</v>
      </c>
    </row>
    <row r="2346" spans="1:2">
      <c r="A2346" s="121">
        <v>42753</v>
      </c>
      <c r="B2346" s="122">
        <v>11352.22</v>
      </c>
    </row>
    <row r="2347" spans="1:2">
      <c r="A2347" s="121">
        <v>42752</v>
      </c>
      <c r="B2347" s="122">
        <v>11326.62</v>
      </c>
    </row>
    <row r="2348" spans="1:2">
      <c r="A2348" s="121">
        <v>42751</v>
      </c>
      <c r="B2348" s="122">
        <v>11346.57</v>
      </c>
    </row>
    <row r="2349" spans="1:2">
      <c r="A2349" s="121">
        <v>42748</v>
      </c>
      <c r="B2349" s="122">
        <v>11329.78</v>
      </c>
    </row>
    <row r="2350" spans="1:2">
      <c r="A2350" s="121">
        <v>42747</v>
      </c>
      <c r="B2350" s="122">
        <v>11339.04</v>
      </c>
    </row>
    <row r="2351" spans="1:2">
      <c r="A2351" s="121">
        <v>42746</v>
      </c>
      <c r="B2351" s="122">
        <v>11303.19</v>
      </c>
    </row>
    <row r="2352" spans="1:2">
      <c r="A2352" s="121">
        <v>42745</v>
      </c>
      <c r="B2352" s="122">
        <v>11179.04</v>
      </c>
    </row>
    <row r="2353" spans="1:2">
      <c r="A2353" s="121">
        <v>42744</v>
      </c>
      <c r="B2353" s="122">
        <v>11108.2</v>
      </c>
    </row>
    <row r="2354" spans="1:2">
      <c r="A2354" s="121">
        <v>42741</v>
      </c>
      <c r="B2354" s="122">
        <v>11118.62</v>
      </c>
    </row>
    <row r="2355" spans="1:2">
      <c r="A2355" s="121">
        <v>42740</v>
      </c>
      <c r="B2355" s="122">
        <v>11159.12</v>
      </c>
    </row>
    <row r="2356" spans="1:2">
      <c r="A2356" s="121">
        <v>42739</v>
      </c>
      <c r="B2356" s="122">
        <v>11046.76</v>
      </c>
    </row>
    <row r="2357" spans="1:2">
      <c r="A2357" s="121">
        <v>42738</v>
      </c>
      <c r="B2357" s="122">
        <v>11049.08</v>
      </c>
    </row>
    <row r="2358" spans="1:2">
      <c r="A2358" s="121">
        <v>42737</v>
      </c>
      <c r="B2358" s="122">
        <v>11031.91</v>
      </c>
    </row>
    <row r="2359" spans="1:2">
      <c r="A2359" s="121">
        <v>42734</v>
      </c>
      <c r="B2359" s="122">
        <v>11040.41</v>
      </c>
    </row>
    <row r="2360" spans="1:2">
      <c r="A2360" s="121">
        <v>42733</v>
      </c>
      <c r="B2360" s="122">
        <v>10929.53</v>
      </c>
    </row>
    <row r="2361" spans="1:2">
      <c r="A2361" s="121">
        <v>42732</v>
      </c>
      <c r="B2361" s="122">
        <v>10836.85</v>
      </c>
    </row>
    <row r="2362" spans="1:2">
      <c r="A2362" s="121">
        <v>42731</v>
      </c>
      <c r="B2362" s="122">
        <v>10834.12</v>
      </c>
    </row>
    <row r="2363" spans="1:2">
      <c r="A2363" s="121">
        <v>42730</v>
      </c>
      <c r="B2363" s="122">
        <v>10666.06</v>
      </c>
    </row>
    <row r="2364" spans="1:2">
      <c r="A2364" s="121">
        <v>42727</v>
      </c>
      <c r="B2364" s="122">
        <v>10770.6</v>
      </c>
    </row>
    <row r="2365" spans="1:2">
      <c r="A2365" s="121">
        <v>42726</v>
      </c>
      <c r="B2365" s="122">
        <v>10761.65</v>
      </c>
    </row>
    <row r="2366" spans="1:2">
      <c r="A2366" s="121">
        <v>42725</v>
      </c>
      <c r="B2366" s="122">
        <v>10872.49</v>
      </c>
    </row>
    <row r="2367" spans="1:2">
      <c r="A2367" s="121">
        <v>42724</v>
      </c>
      <c r="B2367" s="122">
        <v>10900.96</v>
      </c>
    </row>
    <row r="2368" spans="1:2">
      <c r="A2368" s="121">
        <v>42723</v>
      </c>
      <c r="B2368" s="122">
        <v>10930.55</v>
      </c>
    </row>
    <row r="2369" spans="1:2">
      <c r="A2369" s="121">
        <v>42720</v>
      </c>
      <c r="B2369" s="122">
        <v>10977.91</v>
      </c>
    </row>
    <row r="2370" spans="1:2">
      <c r="A2370" s="121">
        <v>42719</v>
      </c>
      <c r="B2370" s="122">
        <v>10997.01</v>
      </c>
    </row>
    <row r="2371" spans="1:2">
      <c r="A2371" s="121">
        <v>42718</v>
      </c>
      <c r="B2371" s="122">
        <v>11035.88</v>
      </c>
    </row>
    <row r="2372" spans="1:2">
      <c r="A2372" s="121">
        <v>42717</v>
      </c>
      <c r="B2372" s="122">
        <v>11088.99</v>
      </c>
    </row>
    <row r="2373" spans="1:2">
      <c r="A2373" s="121">
        <v>42716</v>
      </c>
      <c r="B2373" s="122">
        <v>11020.15</v>
      </c>
    </row>
    <row r="2374" spans="1:2">
      <c r="A2374" s="121">
        <v>42713</v>
      </c>
      <c r="B2374" s="122">
        <v>11142.82</v>
      </c>
    </row>
    <row r="2375" spans="1:2">
      <c r="A2375" s="121">
        <v>42712</v>
      </c>
      <c r="B2375" s="122">
        <v>11122.75</v>
      </c>
    </row>
    <row r="2376" spans="1:2">
      <c r="A2376" s="121">
        <v>42711</v>
      </c>
      <c r="B2376" s="122">
        <v>10927.43</v>
      </c>
    </row>
    <row r="2377" spans="1:2">
      <c r="A2377" s="121">
        <v>42710</v>
      </c>
      <c r="B2377" s="122">
        <v>10982.89</v>
      </c>
    </row>
    <row r="2378" spans="1:2">
      <c r="A2378" s="121">
        <v>42709</v>
      </c>
      <c r="B2378" s="122">
        <v>10963.49</v>
      </c>
    </row>
    <row r="2379" spans="1:2">
      <c r="A2379" s="121">
        <v>42706</v>
      </c>
      <c r="B2379" s="122">
        <v>10906.86</v>
      </c>
    </row>
    <row r="2380" spans="1:2">
      <c r="A2380" s="121">
        <v>42705</v>
      </c>
      <c r="B2380" s="122">
        <v>11050</v>
      </c>
    </row>
    <row r="2381" spans="1:2">
      <c r="A2381" s="121">
        <v>42704</v>
      </c>
      <c r="B2381" s="122">
        <v>11092.59</v>
      </c>
    </row>
    <row r="2382" spans="1:2">
      <c r="A2382" s="121">
        <v>42703</v>
      </c>
      <c r="B2382" s="122">
        <v>10981.54</v>
      </c>
    </row>
    <row r="2383" spans="1:2">
      <c r="A2383" s="121">
        <v>42702</v>
      </c>
      <c r="B2383" s="122">
        <v>10960.97</v>
      </c>
    </row>
    <row r="2384" spans="1:2">
      <c r="A2384" s="121">
        <v>42699</v>
      </c>
      <c r="B2384" s="122">
        <v>10943.99</v>
      </c>
    </row>
    <row r="2385" spans="1:2">
      <c r="A2385" s="121">
        <v>42698</v>
      </c>
      <c r="B2385" s="122">
        <v>10743.28</v>
      </c>
    </row>
    <row r="2386" spans="1:2">
      <c r="A2386" s="121">
        <v>42697</v>
      </c>
      <c r="B2386" s="122">
        <v>10834.59</v>
      </c>
    </row>
    <row r="2387" spans="1:2">
      <c r="A2387" s="121">
        <v>42696</v>
      </c>
      <c r="B2387" s="122">
        <v>10792.82</v>
      </c>
    </row>
    <row r="2388" spans="1:2">
      <c r="A2388" s="121">
        <v>42695</v>
      </c>
      <c r="B2388" s="122">
        <v>10694.09</v>
      </c>
    </row>
    <row r="2389" spans="1:2">
      <c r="A2389" s="121">
        <v>42692</v>
      </c>
      <c r="B2389" s="122">
        <v>10889.64</v>
      </c>
    </row>
    <row r="2390" spans="1:2">
      <c r="A2390" s="121">
        <v>42691</v>
      </c>
      <c r="B2390" s="122">
        <v>10897.55</v>
      </c>
    </row>
    <row r="2391" spans="1:2">
      <c r="A2391" s="121">
        <v>42690</v>
      </c>
      <c r="B2391" s="122">
        <v>10940.23</v>
      </c>
    </row>
    <row r="2392" spans="1:2">
      <c r="A2392" s="121">
        <v>42689</v>
      </c>
      <c r="B2392" s="122">
        <v>10935.99</v>
      </c>
    </row>
    <row r="2393" spans="1:2">
      <c r="A2393" s="121">
        <v>42685</v>
      </c>
      <c r="B2393" s="122">
        <v>11189.3</v>
      </c>
    </row>
    <row r="2394" spans="1:2">
      <c r="A2394" s="121">
        <v>42684</v>
      </c>
      <c r="B2394" s="122">
        <v>11498.79</v>
      </c>
    </row>
    <row r="2395" spans="1:2">
      <c r="A2395" s="121">
        <v>42683</v>
      </c>
      <c r="B2395" s="122">
        <v>11372.35</v>
      </c>
    </row>
    <row r="2396" spans="1:2">
      <c r="A2396" s="121">
        <v>42682</v>
      </c>
      <c r="B2396" s="122">
        <v>11522.76</v>
      </c>
    </row>
    <row r="2397" spans="1:2">
      <c r="A2397" s="121">
        <v>42681</v>
      </c>
      <c r="B2397" s="122">
        <v>11460.08</v>
      </c>
    </row>
    <row r="2398" spans="1:2">
      <c r="A2398" s="121">
        <v>42678</v>
      </c>
      <c r="B2398" s="122">
        <v>11374.71</v>
      </c>
    </row>
    <row r="2399" spans="1:2">
      <c r="A2399" s="121">
        <v>42677</v>
      </c>
      <c r="B2399" s="122">
        <v>11443.72</v>
      </c>
    </row>
    <row r="2400" spans="1:2">
      <c r="A2400" s="121">
        <v>42676</v>
      </c>
      <c r="B2400" s="122">
        <v>11479.94</v>
      </c>
    </row>
    <row r="2401" spans="1:2">
      <c r="A2401" s="121">
        <v>42675</v>
      </c>
      <c r="B2401" s="122">
        <v>11631.33</v>
      </c>
    </row>
    <row r="2402" spans="1:2">
      <c r="A2402" s="121">
        <v>42673</v>
      </c>
      <c r="B2402" s="122">
        <v>11628.32</v>
      </c>
    </row>
    <row r="2403" spans="1:2">
      <c r="A2403" s="121">
        <v>42671</v>
      </c>
      <c r="B2403" s="122">
        <v>11644.89</v>
      </c>
    </row>
    <row r="2404" spans="1:2">
      <c r="A2404" s="121">
        <v>42670</v>
      </c>
      <c r="B2404" s="122">
        <v>11614.18</v>
      </c>
    </row>
    <row r="2405" spans="1:2">
      <c r="A2405" s="121">
        <v>42669</v>
      </c>
      <c r="B2405" s="122">
        <v>11612.99</v>
      </c>
    </row>
    <row r="2406" spans="1:2">
      <c r="A2406" s="121">
        <v>42668</v>
      </c>
      <c r="B2406" s="122">
        <v>11715.45</v>
      </c>
    </row>
    <row r="2407" spans="1:2">
      <c r="A2407" s="121">
        <v>42667</v>
      </c>
      <c r="B2407" s="122">
        <v>11739.24</v>
      </c>
    </row>
    <row r="2408" spans="1:2">
      <c r="A2408" s="121">
        <v>42664</v>
      </c>
      <c r="B2408" s="122">
        <v>11716.57</v>
      </c>
    </row>
    <row r="2409" spans="1:2">
      <c r="A2409" s="121">
        <v>42663</v>
      </c>
      <c r="B2409" s="122">
        <v>11717.04</v>
      </c>
    </row>
    <row r="2410" spans="1:2">
      <c r="A2410" s="121">
        <v>42662</v>
      </c>
      <c r="B2410" s="122">
        <v>11662.81</v>
      </c>
    </row>
    <row r="2411" spans="1:2">
      <c r="A2411" s="121">
        <v>42661</v>
      </c>
      <c r="B2411" s="122">
        <v>11688.13</v>
      </c>
    </row>
    <row r="2412" spans="1:2">
      <c r="A2412" s="121">
        <v>42660</v>
      </c>
      <c r="B2412" s="122">
        <v>11475.97</v>
      </c>
    </row>
    <row r="2413" spans="1:2">
      <c r="A2413" s="121">
        <v>42657</v>
      </c>
      <c r="B2413" s="122">
        <v>11560.81</v>
      </c>
    </row>
    <row r="2414" spans="1:2">
      <c r="A2414" s="121">
        <v>42656</v>
      </c>
      <c r="B2414" s="122">
        <v>11547.3</v>
      </c>
    </row>
    <row r="2415" spans="1:2">
      <c r="A2415" s="121">
        <v>42653</v>
      </c>
      <c r="B2415" s="122">
        <v>11729.75</v>
      </c>
    </row>
    <row r="2416" spans="1:2">
      <c r="A2416" s="121">
        <v>42650</v>
      </c>
      <c r="B2416" s="122">
        <v>11714.65</v>
      </c>
    </row>
    <row r="2417" spans="1:2">
      <c r="A2417" s="121">
        <v>42649</v>
      </c>
      <c r="B2417" s="122">
        <v>11730.75</v>
      </c>
    </row>
    <row r="2418" spans="1:2">
      <c r="A2418" s="121">
        <v>42648</v>
      </c>
      <c r="B2418" s="122">
        <v>11777.1</v>
      </c>
    </row>
    <row r="2419" spans="1:2">
      <c r="A2419" s="121">
        <v>42647</v>
      </c>
      <c r="B2419" s="122">
        <v>11811.04</v>
      </c>
    </row>
    <row r="2420" spans="1:2">
      <c r="A2420" s="121">
        <v>42646</v>
      </c>
      <c r="B2420" s="122">
        <v>11769.16</v>
      </c>
    </row>
    <row r="2421" spans="1:2">
      <c r="A2421" s="121">
        <v>42643</v>
      </c>
      <c r="B2421" s="122">
        <v>11598.22</v>
      </c>
    </row>
    <row r="2422" spans="1:2">
      <c r="A2422" s="121">
        <v>42642</v>
      </c>
      <c r="B2422" s="122">
        <v>11571.4</v>
      </c>
    </row>
    <row r="2423" spans="1:2">
      <c r="A2423" s="121">
        <v>42641</v>
      </c>
      <c r="B2423" s="122">
        <v>11778.71</v>
      </c>
    </row>
    <row r="2424" spans="1:2">
      <c r="A2424" s="121">
        <v>42640</v>
      </c>
      <c r="B2424" s="122">
        <v>11726.49</v>
      </c>
    </row>
    <row r="2425" spans="1:2">
      <c r="A2425" s="121">
        <v>42639</v>
      </c>
      <c r="B2425" s="122">
        <v>11748.91</v>
      </c>
    </row>
    <row r="2426" spans="1:2">
      <c r="A2426" s="121">
        <v>42636</v>
      </c>
      <c r="B2426" s="122">
        <v>11895.07</v>
      </c>
    </row>
    <row r="2427" spans="1:2">
      <c r="A2427" s="121">
        <v>42635</v>
      </c>
      <c r="B2427" s="122">
        <v>11943.44</v>
      </c>
    </row>
    <row r="2428" spans="1:2">
      <c r="A2428" s="121">
        <v>42634</v>
      </c>
      <c r="B2428" s="122">
        <v>11821.52</v>
      </c>
    </row>
    <row r="2429" spans="1:2">
      <c r="A2429" s="121">
        <v>42633</v>
      </c>
      <c r="B2429" s="122">
        <v>11819.83</v>
      </c>
    </row>
    <row r="2430" spans="1:2">
      <c r="A2430" s="121">
        <v>42632</v>
      </c>
      <c r="B2430" s="122">
        <v>11863.61</v>
      </c>
    </row>
    <row r="2431" spans="1:2">
      <c r="A2431" s="121">
        <v>42629</v>
      </c>
      <c r="B2431" s="122">
        <v>11825.12</v>
      </c>
    </row>
    <row r="2432" spans="1:2">
      <c r="A2432" s="121">
        <v>42628</v>
      </c>
      <c r="B2432" s="122">
        <v>11774.9</v>
      </c>
    </row>
    <row r="2433" spans="1:2">
      <c r="A2433" s="121">
        <v>42627</v>
      </c>
      <c r="B2433" s="122">
        <v>11751.93</v>
      </c>
    </row>
    <row r="2434" spans="1:2">
      <c r="A2434" s="121">
        <v>42625</v>
      </c>
      <c r="B2434" s="122">
        <v>11737</v>
      </c>
    </row>
    <row r="2435" spans="1:2">
      <c r="A2435" s="121">
        <v>42622</v>
      </c>
      <c r="B2435" s="122">
        <v>11940.12</v>
      </c>
    </row>
    <row r="2436" spans="1:2">
      <c r="A2436" s="121">
        <v>42621</v>
      </c>
      <c r="B2436" s="122">
        <v>12055.6</v>
      </c>
    </row>
    <row r="2437" spans="1:2">
      <c r="A2437" s="121">
        <v>42620</v>
      </c>
      <c r="B2437" s="122">
        <v>12005.43</v>
      </c>
    </row>
    <row r="2438" spans="1:2">
      <c r="A2438" s="121">
        <v>42619</v>
      </c>
      <c r="B2438" s="122">
        <v>12037.72</v>
      </c>
    </row>
    <row r="2439" spans="1:2">
      <c r="A2439" s="121">
        <v>42615</v>
      </c>
      <c r="B2439" s="122">
        <v>11857.76</v>
      </c>
    </row>
    <row r="2440" spans="1:2">
      <c r="A2440" s="121">
        <v>42614</v>
      </c>
      <c r="B2440" s="122">
        <v>11810.69</v>
      </c>
    </row>
    <row r="2441" spans="1:2">
      <c r="A2441" s="121">
        <v>42613</v>
      </c>
      <c r="B2441" s="122">
        <v>11826.19</v>
      </c>
    </row>
    <row r="2442" spans="1:2">
      <c r="A2442" s="121">
        <v>42612</v>
      </c>
      <c r="B2442" s="122">
        <v>11766.04</v>
      </c>
    </row>
    <row r="2443" spans="1:2">
      <c r="A2443" s="121">
        <v>42611</v>
      </c>
      <c r="B2443" s="122">
        <v>11581.83</v>
      </c>
    </row>
    <row r="2444" spans="1:2">
      <c r="A2444" s="121">
        <v>42608</v>
      </c>
      <c r="B2444" s="122">
        <v>11534.92</v>
      </c>
    </row>
    <row r="2445" spans="1:2">
      <c r="A2445" s="121">
        <v>42607</v>
      </c>
      <c r="B2445" s="122">
        <v>11561.34</v>
      </c>
    </row>
    <row r="2446" spans="1:2">
      <c r="A2446" s="121">
        <v>42606</v>
      </c>
      <c r="B2446" s="122">
        <v>11639.48</v>
      </c>
    </row>
    <row r="2447" spans="1:2">
      <c r="A2447" s="121">
        <v>42605</v>
      </c>
      <c r="B2447" s="122">
        <v>11615.7</v>
      </c>
    </row>
    <row r="2448" spans="1:2">
      <c r="A2448" s="121">
        <v>42604</v>
      </c>
      <c r="B2448" s="122">
        <v>11611.02</v>
      </c>
    </row>
    <row r="2449" spans="1:2">
      <c r="A2449" s="121">
        <v>42601</v>
      </c>
      <c r="B2449" s="122">
        <v>11661.82</v>
      </c>
    </row>
    <row r="2450" spans="1:2">
      <c r="A2450" s="121">
        <v>42600</v>
      </c>
      <c r="B2450" s="122">
        <v>11670.37</v>
      </c>
    </row>
    <row r="2451" spans="1:2">
      <c r="A2451" s="121">
        <v>42599</v>
      </c>
      <c r="B2451" s="122">
        <v>11598.72</v>
      </c>
    </row>
    <row r="2452" spans="1:2">
      <c r="A2452" s="121">
        <v>42598</v>
      </c>
      <c r="B2452" s="122">
        <v>11623.61</v>
      </c>
    </row>
    <row r="2453" spans="1:2">
      <c r="A2453" s="121">
        <v>42594</v>
      </c>
      <c r="B2453" s="122">
        <v>11663.43</v>
      </c>
    </row>
    <row r="2454" spans="1:2">
      <c r="A2454" s="121">
        <v>42593</v>
      </c>
      <c r="B2454" s="122">
        <v>11555.84</v>
      </c>
    </row>
    <row r="2455" spans="1:2">
      <c r="A2455" s="121">
        <v>42592</v>
      </c>
      <c r="B2455" s="122">
        <v>11532.49</v>
      </c>
    </row>
    <row r="2456" spans="1:2">
      <c r="A2456" s="121">
        <v>42591</v>
      </c>
      <c r="B2456" s="122">
        <v>11669.7</v>
      </c>
    </row>
    <row r="2457" spans="1:2">
      <c r="A2457" s="121">
        <v>42590</v>
      </c>
      <c r="B2457" s="122">
        <v>11713.58</v>
      </c>
    </row>
    <row r="2458" spans="1:2">
      <c r="A2458" s="121">
        <v>42587</v>
      </c>
      <c r="B2458" s="122">
        <v>11675.68</v>
      </c>
    </row>
    <row r="2459" spans="1:2">
      <c r="A2459" s="121">
        <v>42586</v>
      </c>
      <c r="B2459" s="122">
        <v>11498.13</v>
      </c>
    </row>
    <row r="2460" spans="1:2">
      <c r="A2460" s="121">
        <v>42585</v>
      </c>
      <c r="B2460" s="122">
        <v>11489.74</v>
      </c>
    </row>
    <row r="2461" spans="1:2">
      <c r="A2461" s="121">
        <v>42584</v>
      </c>
      <c r="B2461" s="122">
        <v>11594.65</v>
      </c>
    </row>
    <row r="2462" spans="1:2">
      <c r="A2462" s="121">
        <v>42583</v>
      </c>
      <c r="B2462" s="122">
        <v>11612.19</v>
      </c>
    </row>
    <row r="2463" spans="1:2">
      <c r="A2463" s="121">
        <v>42580</v>
      </c>
      <c r="B2463" s="122">
        <v>11614.8</v>
      </c>
    </row>
    <row r="2464" spans="1:2">
      <c r="A2464" s="121">
        <v>42579</v>
      </c>
      <c r="B2464" s="122">
        <v>11652.18</v>
      </c>
    </row>
    <row r="2465" spans="1:2">
      <c r="A2465" s="121">
        <v>42578</v>
      </c>
      <c r="B2465" s="122">
        <v>11579.64</v>
      </c>
    </row>
    <row r="2466" spans="1:2">
      <c r="A2466" s="121">
        <v>42577</v>
      </c>
      <c r="B2466" s="122">
        <v>11545.78</v>
      </c>
    </row>
    <row r="2467" spans="1:2">
      <c r="A2467" s="121">
        <v>42576</v>
      </c>
      <c r="B2467" s="122">
        <v>11606.29</v>
      </c>
    </row>
    <row r="2468" spans="1:2">
      <c r="A2468" s="121">
        <v>42573</v>
      </c>
      <c r="B2468" s="122">
        <v>11477.47</v>
      </c>
    </row>
    <row r="2469" spans="1:2">
      <c r="A2469" s="121">
        <v>42572</v>
      </c>
      <c r="B2469" s="122">
        <v>11435.64</v>
      </c>
    </row>
    <row r="2470" spans="1:2">
      <c r="A2470" s="121">
        <v>42571</v>
      </c>
      <c r="B2470" s="122">
        <v>11508.07</v>
      </c>
    </row>
    <row r="2471" spans="1:2">
      <c r="A2471" s="121">
        <v>42570</v>
      </c>
      <c r="B2471" s="122">
        <v>11457.95</v>
      </c>
    </row>
    <row r="2472" spans="1:2">
      <c r="A2472" s="121">
        <v>42569</v>
      </c>
      <c r="B2472" s="122">
        <v>11431.25</v>
      </c>
    </row>
    <row r="2473" spans="1:2">
      <c r="A2473" s="121">
        <v>42566</v>
      </c>
      <c r="B2473" s="122">
        <v>11474.04</v>
      </c>
    </row>
    <row r="2474" spans="1:2">
      <c r="A2474" s="121">
        <v>42565</v>
      </c>
      <c r="B2474" s="122">
        <v>11497.65</v>
      </c>
    </row>
    <row r="2475" spans="1:2">
      <c r="A2475" s="121">
        <v>42564</v>
      </c>
      <c r="B2475" s="122">
        <v>11436.09</v>
      </c>
    </row>
    <row r="2476" spans="1:2">
      <c r="A2476" s="121">
        <v>42563</v>
      </c>
      <c r="B2476" s="122">
        <v>11438.19</v>
      </c>
    </row>
    <row r="2477" spans="1:2">
      <c r="A2477" s="121">
        <v>42562</v>
      </c>
      <c r="B2477" s="122">
        <v>11366.82</v>
      </c>
    </row>
    <row r="2478" spans="1:2">
      <c r="A2478" s="121">
        <v>42559</v>
      </c>
      <c r="B2478" s="122">
        <v>11172.39</v>
      </c>
    </row>
    <row r="2479" spans="1:2">
      <c r="A2479" s="121">
        <v>42558</v>
      </c>
      <c r="B2479" s="122">
        <v>11192.11</v>
      </c>
    </row>
    <row r="2480" spans="1:2">
      <c r="A2480" s="121">
        <v>42556</v>
      </c>
      <c r="B2480" s="122">
        <v>11186.41</v>
      </c>
    </row>
    <row r="2481" spans="1:2">
      <c r="A2481" s="121">
        <v>42555</v>
      </c>
      <c r="B2481" s="122">
        <v>11233.09</v>
      </c>
    </row>
    <row r="2482" spans="1:2">
      <c r="A2482" s="121">
        <v>42552</v>
      </c>
      <c r="B2482" s="122">
        <v>11175.85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showGridLines="0" workbookViewId="0">
      <selection activeCell="H15" sqref="H15"/>
    </sheetView>
  </sheetViews>
  <sheetFormatPr defaultRowHeight="14.5"/>
  <cols>
    <col min="1" max="3" width="1.36328125" customWidth="1"/>
    <col min="4" max="4" width="40.81640625" customWidth="1"/>
    <col min="5" max="6" width="12.81640625" customWidth="1"/>
    <col min="7" max="7" width="2.81640625" customWidth="1"/>
    <col min="8" max="8" width="11.81640625" customWidth="1"/>
    <col min="9" max="9" width="9.453125" customWidth="1"/>
  </cols>
  <sheetData>
    <row r="1" spans="1:14" ht="46">
      <c r="A1" s="126" t="str">
        <f>'HISTORICAL INFORMATION'!A1</f>
        <v>ACUTAAS CHEMICALS LIMITED</v>
      </c>
      <c r="B1" s="127"/>
      <c r="C1" s="127"/>
      <c r="D1" s="127"/>
      <c r="E1" s="127"/>
      <c r="F1" s="127"/>
      <c r="G1" s="24"/>
      <c r="H1" s="24"/>
      <c r="I1" s="24"/>
      <c r="J1" s="24"/>
      <c r="K1" s="24"/>
      <c r="L1" s="24"/>
      <c r="M1" s="24"/>
      <c r="N1" s="24"/>
    </row>
    <row r="2" spans="1:14" ht="18.5">
      <c r="A2" s="128" t="s">
        <v>319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>
      <c r="A3" s="94" t="s">
        <v>320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6" spans="1:14">
      <c r="A6" s="94" t="s">
        <v>321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8" spans="1:14">
      <c r="H8" s="58" t="s">
        <v>60</v>
      </c>
      <c r="I8" s="58" t="s">
        <v>131</v>
      </c>
      <c r="J8" s="58" t="s">
        <v>323</v>
      </c>
      <c r="K8" s="58" t="s">
        <v>323</v>
      </c>
      <c r="L8" s="58" t="s">
        <v>325</v>
      </c>
      <c r="M8" s="58" t="s">
        <v>327</v>
      </c>
      <c r="N8" s="58" t="s">
        <v>329</v>
      </c>
    </row>
    <row r="9" spans="1:14">
      <c r="D9" s="12" t="s">
        <v>287</v>
      </c>
      <c r="E9" s="7"/>
      <c r="F9" s="7"/>
      <c r="G9" s="7"/>
      <c r="H9" s="132" t="s">
        <v>322</v>
      </c>
      <c r="I9" s="132" t="s">
        <v>190</v>
      </c>
      <c r="J9" s="132" t="s">
        <v>60</v>
      </c>
      <c r="K9" s="132" t="s">
        <v>324</v>
      </c>
      <c r="L9" s="132" t="s">
        <v>326</v>
      </c>
      <c r="M9" s="132" t="s">
        <v>328</v>
      </c>
      <c r="N9" s="132" t="s">
        <v>328</v>
      </c>
    </row>
    <row r="10" spans="1:14">
      <c r="D10" s="84" t="s">
        <v>273</v>
      </c>
      <c r="H10" s="130">
        <f>COMP!J8</f>
        <v>2409701.2128010001</v>
      </c>
      <c r="I10" s="130">
        <f>COMP!K8</f>
        <v>30711.862016972998</v>
      </c>
      <c r="J10" s="131">
        <f>I10/H10</f>
        <v>1.2745091322452379E-2</v>
      </c>
      <c r="K10" s="131">
        <f t="shared" ref="K10:K13" si="0">I10/(H10+I10)</f>
        <v>1.2584698194695482E-2</v>
      </c>
      <c r="L10" s="135">
        <f>'COMP DATA'!P8</f>
        <v>0.25559199999999999</v>
      </c>
      <c r="M10" s="133">
        <v>-0.32</v>
      </c>
      <c r="N10" s="134">
        <f>M10/(1+J10*(1-L10))</f>
        <v>-0.31699251828577341</v>
      </c>
    </row>
    <row r="11" spans="1:14">
      <c r="D11" s="84" t="s">
        <v>274</v>
      </c>
      <c r="H11" s="130">
        <f>COMP!J9</f>
        <v>4303681.5559</v>
      </c>
      <c r="I11" s="130">
        <f>COMP!K9</f>
        <v>82445.462446634992</v>
      </c>
      <c r="J11" s="131">
        <f t="shared" ref="J11:J13" si="1">I11/H11</f>
        <v>1.9156961632909135E-2</v>
      </c>
      <c r="K11" s="131">
        <f t="shared" si="0"/>
        <v>1.8796870702051188E-2</v>
      </c>
      <c r="L11" s="135">
        <f>'COMP DATA'!P9</f>
        <v>0.243557</v>
      </c>
      <c r="M11" s="133">
        <v>0.04</v>
      </c>
      <c r="N11" s="134">
        <f t="shared" ref="N11:N13" si="2">M11/(1+J11*(1-L11))</f>
        <v>3.942863377230179E-2</v>
      </c>
    </row>
    <row r="12" spans="1:14">
      <c r="D12" s="84" t="s">
        <v>275</v>
      </c>
      <c r="H12" s="130">
        <f>COMP!J10</f>
        <v>1974443.1492870001</v>
      </c>
      <c r="I12" s="130">
        <f>COMP!K10</f>
        <v>154138.33410929999</v>
      </c>
      <c r="J12" s="131">
        <f t="shared" si="1"/>
        <v>7.8066737026569522E-2</v>
      </c>
      <c r="K12" s="131">
        <f t="shared" si="0"/>
        <v>7.241364040401288E-2</v>
      </c>
      <c r="L12" s="135">
        <f>'COMP DATA'!P10</f>
        <v>0.24199300000000001</v>
      </c>
      <c r="M12" s="133">
        <v>0.14000000000000001</v>
      </c>
      <c r="N12" s="134">
        <f t="shared" si="2"/>
        <v>0.13217832974028176</v>
      </c>
    </row>
    <row r="13" spans="1:14">
      <c r="D13" s="84" t="s">
        <v>276</v>
      </c>
      <c r="H13" s="130">
        <f>COMP!J11</f>
        <v>8070683.042537001</v>
      </c>
      <c r="I13" s="130">
        <f>COMP!K11</f>
        <v>256735.30797222303</v>
      </c>
      <c r="J13" s="131">
        <f t="shared" si="1"/>
        <v>3.1810852516334094E-2</v>
      </c>
      <c r="K13" s="131">
        <f t="shared" si="0"/>
        <v>3.0830120112378356E-2</v>
      </c>
      <c r="L13" s="135">
        <f>'COMP DATA'!P11</f>
        <v>0.247028</v>
      </c>
      <c r="M13" s="133">
        <v>0.36</v>
      </c>
      <c r="N13" s="134">
        <f t="shared" si="2"/>
        <v>0.35157874635741532</v>
      </c>
    </row>
    <row r="14" spans="1:14">
      <c r="D14" s="94" t="s">
        <v>330</v>
      </c>
      <c r="E14" s="24"/>
      <c r="F14" s="24"/>
      <c r="G14" s="24"/>
      <c r="H14" s="24"/>
      <c r="I14" s="24"/>
      <c r="J14" s="139">
        <f t="shared" ref="J14:N14" si="3">AVERAGE(J10:J13)</f>
        <v>3.5444910624566284E-2</v>
      </c>
      <c r="K14" s="139">
        <f t="shared" si="3"/>
        <v>3.3656332353284475E-2</v>
      </c>
      <c r="L14" s="139">
        <f t="shared" si="3"/>
        <v>0.2470425</v>
      </c>
      <c r="M14" s="138">
        <f t="shared" si="3"/>
        <v>5.4999999999999993E-2</v>
      </c>
      <c r="N14" s="138">
        <f t="shared" si="3"/>
        <v>5.1548297896056361E-2</v>
      </c>
    </row>
    <row r="15" spans="1:14">
      <c r="D15" s="94" t="s">
        <v>331</v>
      </c>
      <c r="E15" s="24"/>
      <c r="F15" s="24"/>
      <c r="G15" s="24"/>
      <c r="H15" s="24"/>
      <c r="I15" s="24"/>
      <c r="J15" s="139">
        <f t="shared" ref="J15:N15" si="4">MEDIAN(J10:J13)</f>
        <v>2.5483907074621615E-2</v>
      </c>
      <c r="K15" s="139">
        <f t="shared" si="4"/>
        <v>2.4813495407214774E-2</v>
      </c>
      <c r="L15" s="139">
        <f t="shared" si="4"/>
        <v>0.2452925</v>
      </c>
      <c r="M15" s="138">
        <f t="shared" si="4"/>
        <v>0.09</v>
      </c>
      <c r="N15" s="138">
        <f t="shared" si="4"/>
        <v>8.5803481756291766E-2</v>
      </c>
    </row>
    <row r="17" spans="1:14">
      <c r="D17" s="136" t="s">
        <v>271</v>
      </c>
      <c r="E17" s="24"/>
      <c r="F17" s="24"/>
      <c r="G17" s="24"/>
      <c r="H17" s="137">
        <f>COMP!J16</f>
        <v>2930460.6221249998</v>
      </c>
      <c r="I17" s="137">
        <f>COMP!K16</f>
        <v>3628.6663614210001</v>
      </c>
      <c r="J17" s="24"/>
      <c r="K17" s="24"/>
      <c r="L17" s="24"/>
      <c r="M17" s="24"/>
      <c r="N17" s="24"/>
    </row>
    <row r="20" spans="1:14" ht="18.5">
      <c r="A20" s="128" t="s">
        <v>332</v>
      </c>
      <c r="B20" s="24"/>
      <c r="C20" s="24"/>
      <c r="D20" s="24"/>
      <c r="E20" s="24"/>
      <c r="F20" s="24"/>
      <c r="G20" s="24"/>
      <c r="H20" s="24"/>
      <c r="I20" s="64"/>
      <c r="J20" s="64"/>
      <c r="K20" s="64"/>
      <c r="L20" s="64"/>
      <c r="M20" s="64"/>
      <c r="N20" s="64"/>
    </row>
    <row r="22" spans="1:14">
      <c r="C22" s="140" t="s">
        <v>333</v>
      </c>
      <c r="D22" s="124"/>
      <c r="E22" s="124"/>
      <c r="F22" s="124"/>
      <c r="G22" s="124"/>
      <c r="H22" s="124"/>
    </row>
    <row r="24" spans="1:14">
      <c r="D24" t="s">
        <v>334</v>
      </c>
      <c r="H24" s="71">
        <f>K14</f>
        <v>3.3656332353284475E-2</v>
      </c>
    </row>
    <row r="25" spans="1:14">
      <c r="D25" t="s">
        <v>335</v>
      </c>
      <c r="H25" s="71">
        <f>1-H24</f>
        <v>0.96634366764671553</v>
      </c>
    </row>
    <row r="26" spans="1:14">
      <c r="C26" s="140" t="s">
        <v>336</v>
      </c>
      <c r="D26" s="124"/>
      <c r="E26" s="124"/>
      <c r="F26" s="124"/>
      <c r="G26" s="124"/>
      <c r="H26" s="124"/>
    </row>
    <row r="27" spans="1:14">
      <c r="D27" t="s">
        <v>289</v>
      </c>
      <c r="H27" s="106">
        <f>H17</f>
        <v>2930460.6221249998</v>
      </c>
    </row>
    <row r="28" spans="1:14">
      <c r="D28" t="s">
        <v>337</v>
      </c>
      <c r="H28" s="106">
        <f>I17</f>
        <v>3628.6663614210001</v>
      </c>
    </row>
    <row r="29" spans="1:14">
      <c r="D29" t="s">
        <v>338</v>
      </c>
      <c r="H29" s="129">
        <f>H28/H27</f>
        <v>1.2382580178776476E-3</v>
      </c>
    </row>
    <row r="31" spans="1:14">
      <c r="C31" s="140" t="s">
        <v>339</v>
      </c>
      <c r="D31" s="124"/>
      <c r="E31" s="124"/>
      <c r="F31" s="124"/>
      <c r="G31" s="124"/>
      <c r="H31" s="124"/>
    </row>
    <row r="32" spans="1:14">
      <c r="D32" t="s">
        <v>341</v>
      </c>
      <c r="H32" s="142">
        <f>MODEL!M13</f>
        <v>0.08</v>
      </c>
    </row>
    <row r="33" spans="3:8">
      <c r="D33" t="s">
        <v>340</v>
      </c>
      <c r="H33" s="142">
        <f>MODEL!E133</f>
        <v>0.26175599999999999</v>
      </c>
    </row>
    <row r="34" spans="3:8">
      <c r="D34" s="30" t="s">
        <v>342</v>
      </c>
      <c r="E34" s="31"/>
      <c r="F34" s="31"/>
      <c r="G34" s="31"/>
      <c r="H34" s="143">
        <f>H32*(1-H33)</f>
        <v>5.9059520000000004E-2</v>
      </c>
    </row>
    <row r="36" spans="3:8">
      <c r="C36" s="140" t="s">
        <v>343</v>
      </c>
      <c r="D36" s="124"/>
      <c r="E36" s="124"/>
      <c r="F36" s="124"/>
      <c r="G36" s="124"/>
      <c r="H36" s="124"/>
    </row>
    <row r="37" spans="3:8">
      <c r="D37" t="s">
        <v>344</v>
      </c>
      <c r="H37" s="144">
        <v>6.7000000000000004E-2</v>
      </c>
    </row>
    <row r="38" spans="3:8">
      <c r="D38" t="s">
        <v>345</v>
      </c>
      <c r="H38" s="141">
        <f>'MARKET DATA'!E11</f>
        <v>0.12520599576254754</v>
      </c>
    </row>
    <row r="39" spans="3:8">
      <c r="D39" t="s">
        <v>346</v>
      </c>
      <c r="H39" s="129">
        <f>H38-H37</f>
        <v>5.8205995762547535E-2</v>
      </c>
    </row>
    <row r="40" spans="3:8">
      <c r="D40" t="s">
        <v>347</v>
      </c>
      <c r="H40" s="134">
        <f>N15*(1+H29*(1-H33))</f>
        <v>8.5881917855266943E-2</v>
      </c>
    </row>
    <row r="41" spans="3:8">
      <c r="D41" s="30" t="s">
        <v>348</v>
      </c>
      <c r="E41" s="31"/>
      <c r="F41" s="31"/>
      <c r="G41" s="31"/>
      <c r="H41" s="143">
        <f>H37+(H39*H40)</f>
        <v>7.1998842546763128E-2</v>
      </c>
    </row>
    <row r="43" spans="3:8" ht="15" thickBot="1">
      <c r="D43" s="42" t="s">
        <v>349</v>
      </c>
      <c r="E43" s="43"/>
      <c r="F43" s="43"/>
      <c r="G43" s="43"/>
      <c r="H43" s="145">
        <f>(H34*H24)+(H41*H25)</f>
        <v>7.1563352406702932E-2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>
      <selection sqref="A1:M2"/>
    </sheetView>
  </sheetViews>
  <sheetFormatPr defaultRowHeight="14.5"/>
  <cols>
    <col min="1" max="1" width="12.7265625" customWidth="1"/>
    <col min="2" max="2" width="12.453125" customWidth="1"/>
    <col min="3" max="3" width="11.90625" customWidth="1"/>
    <col min="4" max="4" width="12.08984375" customWidth="1"/>
    <col min="5" max="5" width="10.54296875" customWidth="1"/>
    <col min="8" max="8" width="8.7265625" customWidth="1"/>
    <col min="10" max="11" width="8.7265625" customWidth="1"/>
  </cols>
  <sheetData>
    <row r="1" spans="1:13" ht="46">
      <c r="A1" s="17" t="s">
        <v>2</v>
      </c>
      <c r="B1" s="1"/>
      <c r="C1" s="1"/>
      <c r="D1" s="1"/>
      <c r="E1" s="1"/>
      <c r="F1" s="1"/>
      <c r="G1" s="1"/>
      <c r="H1" s="1"/>
      <c r="I1" s="1"/>
      <c r="J1" s="24" t="s">
        <v>350</v>
      </c>
      <c r="K1" s="24"/>
      <c r="L1" s="24"/>
      <c r="M1" s="24"/>
    </row>
    <row r="2" spans="1:13" ht="18.5">
      <c r="A2" s="3" t="s">
        <v>1</v>
      </c>
      <c r="B2" s="2"/>
      <c r="C2" s="2"/>
      <c r="D2" s="2"/>
      <c r="E2" s="2"/>
      <c r="F2" s="2"/>
      <c r="G2" s="2"/>
      <c r="H2" s="2"/>
      <c r="I2" s="2"/>
      <c r="J2" s="24"/>
      <c r="K2" s="24"/>
      <c r="L2" s="24"/>
      <c r="M2" s="24"/>
    </row>
    <row r="4" spans="1:13">
      <c r="A4" s="104"/>
      <c r="B4" s="104" t="s">
        <v>314</v>
      </c>
      <c r="C4" s="104" t="s">
        <v>351</v>
      </c>
      <c r="D4" s="104" t="s">
        <v>353</v>
      </c>
      <c r="E4" s="104" t="s">
        <v>351</v>
      </c>
    </row>
    <row r="5" spans="1:13">
      <c r="A5" s="104" t="s">
        <v>313</v>
      </c>
      <c r="B5" s="104" t="s">
        <v>315</v>
      </c>
      <c r="C5" s="104" t="s">
        <v>352</v>
      </c>
      <c r="D5" s="104" t="s">
        <v>315</v>
      </c>
      <c r="E5" s="104" t="s">
        <v>352</v>
      </c>
      <c r="G5" s="147" t="s">
        <v>355</v>
      </c>
      <c r="H5">
        <f>MIN(D52:D64)</f>
        <v>1318.8</v>
      </c>
    </row>
    <row r="6" spans="1:13">
      <c r="A6" s="158">
        <v>44440</v>
      </c>
      <c r="B6" s="92">
        <v>17618.150000000001</v>
      </c>
      <c r="C6" s="71"/>
      <c r="D6" s="133">
        <v>1282.5</v>
      </c>
      <c r="G6" s="58" t="s">
        <v>356</v>
      </c>
      <c r="H6">
        <f>MAX(D52:D64)</f>
        <v>3546.4</v>
      </c>
    </row>
    <row r="7" spans="1:13">
      <c r="A7" s="158">
        <v>44470</v>
      </c>
      <c r="B7" s="92">
        <v>17671.650000000001</v>
      </c>
      <c r="C7" s="71">
        <f t="shared" ref="C7:C64" si="0">B7/B6-1</f>
        <v>3.0366411910445201E-3</v>
      </c>
      <c r="D7" s="133">
        <v>1025.05</v>
      </c>
      <c r="E7" s="71">
        <f>D7/D6-1</f>
        <v>-0.20074074074074078</v>
      </c>
    </row>
    <row r="8" spans="1:13">
      <c r="A8" s="158">
        <v>44501</v>
      </c>
      <c r="B8" s="92">
        <v>16983.2</v>
      </c>
      <c r="C8" s="71">
        <f t="shared" si="0"/>
        <v>-3.8957878862471818E-2</v>
      </c>
      <c r="D8" s="133">
        <v>901.85</v>
      </c>
      <c r="E8" s="71">
        <f t="shared" ref="E8:E64" si="1">D8/D7-1</f>
        <v>-0.12018925906053357</v>
      </c>
      <c r="G8" s="148"/>
    </row>
    <row r="9" spans="1:13">
      <c r="A9" s="158">
        <v>44531</v>
      </c>
      <c r="B9" s="92">
        <v>17354.05</v>
      </c>
      <c r="C9" s="71">
        <f t="shared" si="0"/>
        <v>2.1836285270149247E-2</v>
      </c>
      <c r="D9" s="133">
        <v>1066.5</v>
      </c>
      <c r="E9" s="71">
        <f t="shared" si="1"/>
        <v>0.18256916338637241</v>
      </c>
      <c r="G9" s="149" t="s">
        <v>354</v>
      </c>
      <c r="H9" s="146">
        <f>SLOPE(E7:E64,C7:C64)</f>
        <v>0.23015037716503725</v>
      </c>
      <c r="I9" s="51"/>
    </row>
    <row r="10" spans="1:13">
      <c r="A10" s="158">
        <v>44562</v>
      </c>
      <c r="B10" s="92">
        <v>17339.849999999999</v>
      </c>
      <c r="C10" s="71">
        <f t="shared" si="0"/>
        <v>-8.1825279977876253E-4</v>
      </c>
      <c r="D10" s="133">
        <v>988.5</v>
      </c>
      <c r="E10" s="71">
        <f t="shared" si="1"/>
        <v>-7.3136427566807272E-2</v>
      </c>
    </row>
    <row r="11" spans="1:13">
      <c r="A11" s="158">
        <v>44593</v>
      </c>
      <c r="B11" s="92">
        <v>16793.900000000001</v>
      </c>
      <c r="C11" s="71">
        <f t="shared" si="0"/>
        <v>-3.1485278131010208E-2</v>
      </c>
      <c r="D11" s="133">
        <v>867.45</v>
      </c>
      <c r="E11" s="71">
        <f t="shared" si="1"/>
        <v>-0.12245827010622146</v>
      </c>
    </row>
    <row r="12" spans="1:13">
      <c r="A12" s="158">
        <v>44621</v>
      </c>
      <c r="B12" s="92">
        <v>17464.75</v>
      </c>
      <c r="C12" s="71">
        <f t="shared" si="0"/>
        <v>3.9946051840251462E-2</v>
      </c>
      <c r="D12" s="133">
        <v>999.65</v>
      </c>
      <c r="E12" s="71">
        <f t="shared" si="1"/>
        <v>0.15240071473860151</v>
      </c>
    </row>
    <row r="13" spans="1:13">
      <c r="A13" s="158">
        <v>44652</v>
      </c>
      <c r="B13" s="92">
        <v>17102.55</v>
      </c>
      <c r="C13" s="71">
        <f t="shared" si="0"/>
        <v>-2.0738916961307807E-2</v>
      </c>
      <c r="D13" s="133">
        <v>1134.8499999999999</v>
      </c>
      <c r="E13" s="71">
        <f t="shared" si="1"/>
        <v>0.13524733656779864</v>
      </c>
    </row>
    <row r="14" spans="1:13">
      <c r="A14" s="158">
        <v>44682</v>
      </c>
      <c r="B14" s="92">
        <v>16584.55</v>
      </c>
      <c r="C14" s="71">
        <f t="shared" si="0"/>
        <v>-3.0287881046978327E-2</v>
      </c>
      <c r="D14" s="133">
        <v>871.45</v>
      </c>
      <c r="E14" s="71">
        <f t="shared" si="1"/>
        <v>-0.23210115874344617</v>
      </c>
    </row>
    <row r="15" spans="1:13">
      <c r="A15" s="158">
        <v>44713</v>
      </c>
      <c r="B15" s="92">
        <v>15780.25</v>
      </c>
      <c r="C15" s="71">
        <f t="shared" si="0"/>
        <v>-4.8496944445281853E-2</v>
      </c>
      <c r="D15" s="133">
        <v>876.65</v>
      </c>
      <c r="E15" s="71">
        <f t="shared" si="1"/>
        <v>5.9670663836133286E-3</v>
      </c>
    </row>
    <row r="16" spans="1:13">
      <c r="A16" s="158">
        <v>44743</v>
      </c>
      <c r="B16" s="92">
        <v>17158.25</v>
      </c>
      <c r="C16" s="71">
        <f t="shared" si="0"/>
        <v>8.7324345305048956E-2</v>
      </c>
      <c r="D16" s="133">
        <v>1038.4000000000001</v>
      </c>
      <c r="E16" s="71">
        <f t="shared" si="1"/>
        <v>0.18450921120173391</v>
      </c>
    </row>
    <row r="17" spans="1:5">
      <c r="A17" s="158">
        <v>44774</v>
      </c>
      <c r="B17" s="92">
        <v>17759.3</v>
      </c>
      <c r="C17" s="71">
        <f t="shared" si="0"/>
        <v>3.5029796162195925E-2</v>
      </c>
      <c r="D17" s="133">
        <v>992.65</v>
      </c>
      <c r="E17" s="71">
        <f t="shared" si="1"/>
        <v>-4.4058166409861377E-2</v>
      </c>
    </row>
    <row r="18" spans="1:5">
      <c r="A18" s="158">
        <v>44805</v>
      </c>
      <c r="B18" s="92">
        <v>17094.349999999999</v>
      </c>
      <c r="C18" s="71">
        <f t="shared" si="0"/>
        <v>-3.7442354146841383E-2</v>
      </c>
      <c r="D18" s="133">
        <v>912.65</v>
      </c>
      <c r="E18" s="71">
        <f t="shared" si="1"/>
        <v>-8.059235380043317E-2</v>
      </c>
    </row>
    <row r="19" spans="1:5">
      <c r="A19" s="158">
        <v>44835</v>
      </c>
      <c r="B19" s="92">
        <v>18012.2</v>
      </c>
      <c r="C19" s="71">
        <f t="shared" si="0"/>
        <v>5.3693179325332796E-2</v>
      </c>
      <c r="D19" s="133">
        <v>947.65</v>
      </c>
      <c r="E19" s="71">
        <f t="shared" si="1"/>
        <v>3.8349860296937432E-2</v>
      </c>
    </row>
    <row r="20" spans="1:5">
      <c r="A20" s="158">
        <v>44866</v>
      </c>
      <c r="B20" s="92">
        <v>18758.349999999999</v>
      </c>
      <c r="C20" s="71">
        <f t="shared" si="0"/>
        <v>4.1424701035964295E-2</v>
      </c>
      <c r="D20" s="133">
        <v>974.1</v>
      </c>
      <c r="E20" s="71">
        <f t="shared" si="1"/>
        <v>2.7911148630823668E-2</v>
      </c>
    </row>
    <row r="21" spans="1:5">
      <c r="A21" s="158">
        <v>44896</v>
      </c>
      <c r="B21" s="92">
        <v>18105.3</v>
      </c>
      <c r="C21" s="71">
        <f t="shared" si="0"/>
        <v>-3.4813829574562805E-2</v>
      </c>
      <c r="D21" s="133">
        <v>965.45</v>
      </c>
      <c r="E21" s="71">
        <f t="shared" si="1"/>
        <v>-8.8799917872908196E-3</v>
      </c>
    </row>
    <row r="22" spans="1:5">
      <c r="A22" s="158">
        <v>44927</v>
      </c>
      <c r="B22" s="92">
        <v>17662.150000000001</v>
      </c>
      <c r="C22" s="71">
        <f t="shared" si="0"/>
        <v>-2.4476258333195111E-2</v>
      </c>
      <c r="D22" s="133">
        <v>892.95</v>
      </c>
      <c r="E22" s="71">
        <f t="shared" si="1"/>
        <v>-7.5094515510901627E-2</v>
      </c>
    </row>
    <row r="23" spans="1:5">
      <c r="A23" s="158">
        <v>44958</v>
      </c>
      <c r="B23" s="92">
        <v>17303.95</v>
      </c>
      <c r="C23" s="71">
        <f t="shared" si="0"/>
        <v>-2.0280656658447582E-2</v>
      </c>
      <c r="D23" s="133">
        <v>908.85</v>
      </c>
      <c r="E23" s="71">
        <f t="shared" si="1"/>
        <v>1.780614816059134E-2</v>
      </c>
    </row>
    <row r="24" spans="1:5">
      <c r="A24" s="158">
        <v>44986</v>
      </c>
      <c r="B24" s="92">
        <v>17359.75</v>
      </c>
      <c r="C24" s="71">
        <f t="shared" si="0"/>
        <v>3.2246972512055549E-3</v>
      </c>
      <c r="D24" s="133">
        <v>888.95</v>
      </c>
      <c r="E24" s="71">
        <f t="shared" si="1"/>
        <v>-2.1895802387632668E-2</v>
      </c>
    </row>
    <row r="25" spans="1:5">
      <c r="A25" s="158">
        <v>45017</v>
      </c>
      <c r="B25" s="92">
        <v>18065</v>
      </c>
      <c r="C25" s="71">
        <f t="shared" si="0"/>
        <v>4.0625585045867663E-2</v>
      </c>
      <c r="D25" s="133">
        <v>1061.8</v>
      </c>
      <c r="E25" s="71">
        <f t="shared" si="1"/>
        <v>0.19444288205185889</v>
      </c>
    </row>
    <row r="26" spans="1:5">
      <c r="A26" s="158">
        <v>45047</v>
      </c>
      <c r="B26" s="92">
        <v>18534.400000000001</v>
      </c>
      <c r="C26" s="71">
        <f t="shared" si="0"/>
        <v>2.5983946858566309E-2</v>
      </c>
      <c r="D26" s="133">
        <v>1217.1500000000001</v>
      </c>
      <c r="E26" s="71">
        <f t="shared" si="1"/>
        <v>0.14630815596157487</v>
      </c>
    </row>
    <row r="27" spans="1:5">
      <c r="A27" s="158">
        <v>45078</v>
      </c>
      <c r="B27" s="92">
        <v>19189.05</v>
      </c>
      <c r="C27" s="71">
        <f t="shared" si="0"/>
        <v>3.5320808874309328E-2</v>
      </c>
      <c r="D27" s="133">
        <v>1271.8</v>
      </c>
      <c r="E27" s="71">
        <f t="shared" si="1"/>
        <v>4.4899971244300119E-2</v>
      </c>
    </row>
    <row r="28" spans="1:5">
      <c r="A28" s="158">
        <v>45108</v>
      </c>
      <c r="B28" s="92">
        <v>19753.8</v>
      </c>
      <c r="C28" s="71">
        <f t="shared" si="0"/>
        <v>2.9430847280089489E-2</v>
      </c>
      <c r="D28" s="133">
        <v>1145.3499999999999</v>
      </c>
      <c r="E28" s="71">
        <f t="shared" si="1"/>
        <v>-9.9426010378990459E-2</v>
      </c>
    </row>
    <row r="29" spans="1:5">
      <c r="A29" s="158">
        <v>45139</v>
      </c>
      <c r="B29" s="92">
        <v>19253.8</v>
      </c>
      <c r="C29" s="71">
        <f t="shared" si="0"/>
        <v>-2.5311585618969512E-2</v>
      </c>
      <c r="D29" s="133">
        <v>1310.6500000000001</v>
      </c>
      <c r="E29" s="71">
        <f t="shared" si="1"/>
        <v>0.14432269611909043</v>
      </c>
    </row>
    <row r="30" spans="1:5">
      <c r="A30" s="158">
        <v>45170</v>
      </c>
      <c r="B30" s="92">
        <v>19638.3</v>
      </c>
      <c r="C30" s="71">
        <f t="shared" si="0"/>
        <v>1.9970083827608009E-2</v>
      </c>
      <c r="D30" s="133">
        <v>1231.45</v>
      </c>
      <c r="E30" s="71">
        <f t="shared" si="1"/>
        <v>-6.0428031892572398E-2</v>
      </c>
    </row>
    <row r="31" spans="1:5">
      <c r="A31" s="158">
        <v>45200</v>
      </c>
      <c r="B31" s="92">
        <v>19079.599999999999</v>
      </c>
      <c r="C31" s="71">
        <f t="shared" si="0"/>
        <v>-2.844950937708457E-2</v>
      </c>
      <c r="D31" s="133">
        <v>1176.1500000000001</v>
      </c>
      <c r="E31" s="71">
        <f t="shared" si="1"/>
        <v>-4.4906411141337421E-2</v>
      </c>
    </row>
    <row r="32" spans="1:5">
      <c r="A32" s="158">
        <v>45231</v>
      </c>
      <c r="B32" s="92">
        <v>20133.150000000001</v>
      </c>
      <c r="C32" s="71">
        <f t="shared" si="0"/>
        <v>5.5218662865049728E-2</v>
      </c>
      <c r="D32" s="133">
        <v>1108.75</v>
      </c>
      <c r="E32" s="71">
        <f t="shared" si="1"/>
        <v>-5.7305615780300245E-2</v>
      </c>
    </row>
    <row r="33" spans="1:5">
      <c r="A33" s="158">
        <v>45261</v>
      </c>
      <c r="B33" s="92">
        <v>21731.4</v>
      </c>
      <c r="C33" s="71">
        <f t="shared" si="0"/>
        <v>7.9384001013254268E-2</v>
      </c>
      <c r="D33" s="133">
        <v>1121.95</v>
      </c>
      <c r="E33" s="71">
        <f t="shared" si="1"/>
        <v>1.190529875986468E-2</v>
      </c>
    </row>
    <row r="34" spans="1:5">
      <c r="A34" s="158">
        <v>45292</v>
      </c>
      <c r="B34" s="92">
        <v>21725.7</v>
      </c>
      <c r="C34" s="71">
        <f t="shared" si="0"/>
        <v>-2.6229327148741266E-4</v>
      </c>
      <c r="D34" s="133">
        <v>1163</v>
      </c>
      <c r="E34" s="71">
        <f t="shared" si="1"/>
        <v>3.6588083247916625E-2</v>
      </c>
    </row>
    <row r="35" spans="1:5">
      <c r="A35" s="158">
        <v>45323</v>
      </c>
      <c r="B35" s="92">
        <v>21982.799999999999</v>
      </c>
      <c r="C35" s="71">
        <f t="shared" si="0"/>
        <v>1.1833910990209695E-2</v>
      </c>
      <c r="D35" s="133">
        <v>1112.9000000000001</v>
      </c>
      <c r="E35" s="71">
        <f t="shared" si="1"/>
        <v>-4.3078245915735058E-2</v>
      </c>
    </row>
    <row r="36" spans="1:5">
      <c r="A36" s="158">
        <v>45352</v>
      </c>
      <c r="B36" s="92">
        <v>22326.9</v>
      </c>
      <c r="C36" s="71">
        <f t="shared" si="0"/>
        <v>1.5653147005840973E-2</v>
      </c>
      <c r="D36" s="133">
        <v>1094.3499999999999</v>
      </c>
      <c r="E36" s="71">
        <f t="shared" si="1"/>
        <v>-1.6668164255548734E-2</v>
      </c>
    </row>
    <row r="37" spans="1:5">
      <c r="A37" s="158">
        <v>45383</v>
      </c>
      <c r="B37" s="92">
        <v>22604.85</v>
      </c>
      <c r="C37" s="71">
        <f t="shared" si="0"/>
        <v>1.2449108474530624E-2</v>
      </c>
      <c r="D37" s="133">
        <v>1229.8</v>
      </c>
      <c r="E37" s="71">
        <f t="shared" si="1"/>
        <v>0.12377210216110024</v>
      </c>
    </row>
    <row r="38" spans="1:5">
      <c r="A38" s="158">
        <v>45413</v>
      </c>
      <c r="B38" s="92">
        <v>22530.7</v>
      </c>
      <c r="C38" s="71">
        <f t="shared" si="0"/>
        <v>-3.2802694996869608E-3</v>
      </c>
      <c r="D38" s="133">
        <v>1217.05</v>
      </c>
      <c r="E38" s="71">
        <f t="shared" si="1"/>
        <v>-1.0367539437306839E-2</v>
      </c>
    </row>
    <row r="39" spans="1:5">
      <c r="A39" s="158">
        <v>45444</v>
      </c>
      <c r="B39" s="92">
        <v>24010.6</v>
      </c>
      <c r="C39" s="71">
        <f t="shared" si="0"/>
        <v>6.5683711558007341E-2</v>
      </c>
      <c r="D39" s="133">
        <v>1291.0999999999999</v>
      </c>
      <c r="E39" s="71">
        <f t="shared" si="1"/>
        <v>6.0843843720471691E-2</v>
      </c>
    </row>
    <row r="40" spans="1:5">
      <c r="A40" s="158">
        <v>45474</v>
      </c>
      <c r="B40" s="92">
        <v>24951.15</v>
      </c>
      <c r="C40" s="71">
        <f t="shared" si="0"/>
        <v>3.917228224200997E-2</v>
      </c>
      <c r="D40" s="133">
        <v>1336.15</v>
      </c>
      <c r="E40" s="71">
        <f t="shared" si="1"/>
        <v>3.4892727131903278E-2</v>
      </c>
    </row>
    <row r="41" spans="1:5">
      <c r="A41" s="158">
        <v>45505</v>
      </c>
      <c r="B41" s="92">
        <v>25235.9</v>
      </c>
      <c r="C41" s="71">
        <f t="shared" si="0"/>
        <v>1.141229963348378E-2</v>
      </c>
      <c r="D41" s="133">
        <v>1384.2</v>
      </c>
      <c r="E41" s="71">
        <f t="shared" si="1"/>
        <v>3.5961531265202185E-2</v>
      </c>
    </row>
    <row r="42" spans="1:5">
      <c r="A42" s="158">
        <v>45536</v>
      </c>
      <c r="B42" s="92">
        <v>25810.85</v>
      </c>
      <c r="C42" s="71">
        <f t="shared" si="0"/>
        <v>2.2783019428670892E-2</v>
      </c>
      <c r="D42" s="133">
        <v>1742.35</v>
      </c>
      <c r="E42" s="71">
        <f t="shared" si="1"/>
        <v>0.25874151134229151</v>
      </c>
    </row>
    <row r="43" spans="1:5">
      <c r="A43" s="158">
        <v>45566</v>
      </c>
      <c r="B43" s="92">
        <v>24205.35</v>
      </c>
      <c r="C43" s="71">
        <f t="shared" si="0"/>
        <v>-6.2202523357425266E-2</v>
      </c>
      <c r="D43" s="133">
        <v>1976.85</v>
      </c>
      <c r="E43" s="71">
        <f t="shared" si="1"/>
        <v>0.1345883433294115</v>
      </c>
    </row>
    <row r="44" spans="1:5">
      <c r="A44" s="158">
        <v>45597</v>
      </c>
      <c r="B44" s="92">
        <v>24131.1</v>
      </c>
      <c r="C44" s="71">
        <f t="shared" si="0"/>
        <v>-3.0675036717089377E-3</v>
      </c>
      <c r="D44" s="133">
        <v>2143.9</v>
      </c>
      <c r="E44" s="71">
        <f t="shared" si="1"/>
        <v>8.4503123656322066E-2</v>
      </c>
    </row>
    <row r="45" spans="1:5">
      <c r="A45" s="158">
        <v>45627</v>
      </c>
      <c r="B45" s="92">
        <v>23644.799999999999</v>
      </c>
      <c r="C45" s="71">
        <f t="shared" si="0"/>
        <v>-2.0152417419844082E-2</v>
      </c>
      <c r="D45" s="133">
        <v>2148.4</v>
      </c>
      <c r="E45" s="71">
        <f t="shared" si="1"/>
        <v>2.0989784971314762E-3</v>
      </c>
    </row>
    <row r="46" spans="1:5">
      <c r="A46" s="158">
        <v>45658</v>
      </c>
      <c r="B46" s="92">
        <v>23508.400000000001</v>
      </c>
      <c r="C46" s="71">
        <f t="shared" si="0"/>
        <v>-5.7687102449586192E-3</v>
      </c>
      <c r="D46" s="133">
        <v>2384.1</v>
      </c>
      <c r="E46" s="71">
        <f t="shared" si="1"/>
        <v>0.10970955129398607</v>
      </c>
    </row>
    <row r="47" spans="1:5">
      <c r="A47" s="158">
        <v>45689</v>
      </c>
      <c r="B47" s="92">
        <v>22124.7</v>
      </c>
      <c r="C47" s="71">
        <f t="shared" si="0"/>
        <v>-5.8859811811948104E-2</v>
      </c>
      <c r="D47" s="133">
        <v>2170.25</v>
      </c>
      <c r="E47" s="71">
        <f t="shared" si="1"/>
        <v>-8.9698418690491111E-2</v>
      </c>
    </row>
    <row r="48" spans="1:5">
      <c r="A48" s="158">
        <v>45717</v>
      </c>
      <c r="B48" s="92">
        <v>23519.35</v>
      </c>
      <c r="C48" s="71">
        <f t="shared" si="0"/>
        <v>6.3035882972424462E-2</v>
      </c>
      <c r="D48" s="133">
        <v>2441.5500000000002</v>
      </c>
      <c r="E48" s="71">
        <f t="shared" si="1"/>
        <v>0.12500863955765462</v>
      </c>
    </row>
    <row r="49" spans="1:5">
      <c r="A49" s="158">
        <v>45748</v>
      </c>
      <c r="B49" s="92">
        <v>24334.2</v>
      </c>
      <c r="C49" s="71">
        <f t="shared" si="0"/>
        <v>3.4645940470293679E-2</v>
      </c>
      <c r="D49" s="133">
        <v>1130.5</v>
      </c>
      <c r="E49" s="71">
        <f t="shared" si="1"/>
        <v>-0.53697446294362194</v>
      </c>
    </row>
    <row r="50" spans="1:5">
      <c r="A50" s="158">
        <v>45778</v>
      </c>
      <c r="B50" s="92">
        <v>24750.7</v>
      </c>
      <c r="C50" s="71">
        <f t="shared" si="0"/>
        <v>1.7115828751304685E-2</v>
      </c>
      <c r="D50" s="133">
        <v>1176.45</v>
      </c>
      <c r="E50" s="71">
        <f t="shared" si="1"/>
        <v>4.0645731977001276E-2</v>
      </c>
    </row>
    <row r="51" spans="1:5">
      <c r="A51" s="158">
        <v>45809</v>
      </c>
      <c r="B51" s="92">
        <v>25517.05</v>
      </c>
      <c r="C51" s="71">
        <f t="shared" si="0"/>
        <v>3.0962760649193788E-2</v>
      </c>
      <c r="D51" s="133">
        <v>1144.3499999999999</v>
      </c>
      <c r="E51" s="71">
        <f t="shared" si="1"/>
        <v>-2.7285477495856303E-2</v>
      </c>
    </row>
    <row r="52" spans="1:5">
      <c r="A52" s="158">
        <v>45839</v>
      </c>
      <c r="B52" s="92">
        <v>24768.35</v>
      </c>
      <c r="C52" s="71">
        <f t="shared" si="0"/>
        <v>-2.9341166004691055E-2</v>
      </c>
      <c r="D52" s="133">
        <v>1329.1</v>
      </c>
      <c r="E52" s="71">
        <f t="shared" si="1"/>
        <v>0.16144536199589288</v>
      </c>
    </row>
    <row r="53" spans="1:5">
      <c r="A53" s="158">
        <v>45870</v>
      </c>
      <c r="B53" s="92">
        <v>24426.85</v>
      </c>
      <c r="C53" s="71">
        <f t="shared" si="0"/>
        <v>-1.3787757359694952E-2</v>
      </c>
      <c r="D53" s="133">
        <v>1405.3</v>
      </c>
      <c r="E53" s="71">
        <f t="shared" si="1"/>
        <v>5.7332029192686873E-2</v>
      </c>
    </row>
    <row r="54" spans="1:5">
      <c r="A54" s="158">
        <v>45901</v>
      </c>
      <c r="B54" s="92">
        <v>24611.1</v>
      </c>
      <c r="C54" s="71">
        <f t="shared" si="0"/>
        <v>7.5429291947182175E-3</v>
      </c>
      <c r="D54" s="133">
        <v>1318.8</v>
      </c>
      <c r="E54" s="71">
        <f t="shared" si="1"/>
        <v>-6.155269337508007E-2</v>
      </c>
    </row>
    <row r="55" spans="1:5">
      <c r="A55" s="158">
        <v>45931</v>
      </c>
      <c r="B55" s="92">
        <v>25722.1</v>
      </c>
      <c r="C55" s="71">
        <f t="shared" si="0"/>
        <v>4.5142232569856722E-2</v>
      </c>
      <c r="D55" s="133">
        <v>1723.8</v>
      </c>
      <c r="E55" s="71">
        <f t="shared" si="1"/>
        <v>0.30709736123748854</v>
      </c>
    </row>
    <row r="56" spans="1:5">
      <c r="A56" s="158">
        <v>45962</v>
      </c>
      <c r="B56" s="92">
        <v>26202.95</v>
      </c>
      <c r="C56" s="71">
        <f t="shared" si="0"/>
        <v>1.8694041310779452E-2</v>
      </c>
      <c r="D56" s="133">
        <v>1837.05</v>
      </c>
      <c r="E56" s="71">
        <f t="shared" si="1"/>
        <v>6.569787678384964E-2</v>
      </c>
    </row>
    <row r="57" spans="1:5">
      <c r="A57" s="158">
        <v>45992</v>
      </c>
      <c r="B57" s="92">
        <v>26129.599999999999</v>
      </c>
      <c r="C57" s="71">
        <f t="shared" si="0"/>
        <v>-2.7993031318993555E-3</v>
      </c>
      <c r="D57" s="133">
        <v>1703.1</v>
      </c>
      <c r="E57" s="71">
        <f t="shared" si="1"/>
        <v>-7.2915816118233057E-2</v>
      </c>
    </row>
    <row r="58" spans="1:5">
      <c r="A58" s="158">
        <v>46023</v>
      </c>
      <c r="B58" s="92">
        <v>25320.65</v>
      </c>
      <c r="C58" s="71">
        <f t="shared" si="0"/>
        <v>-3.0959142122343852E-2</v>
      </c>
      <c r="D58" s="133">
        <v>1909.8</v>
      </c>
      <c r="E58" s="71">
        <f t="shared" si="1"/>
        <v>0.12136691914743714</v>
      </c>
    </row>
    <row r="59" spans="1:5">
      <c r="A59" s="158">
        <v>46054</v>
      </c>
      <c r="B59" s="92">
        <v>25178.65</v>
      </c>
      <c r="C59" s="71">
        <f t="shared" si="0"/>
        <v>-5.6080708828565307E-3</v>
      </c>
      <c r="D59" s="133">
        <v>2158.6999999999998</v>
      </c>
      <c r="E59" s="71">
        <f t="shared" si="1"/>
        <v>0.130327783013928</v>
      </c>
    </row>
    <row r="60" spans="1:5">
      <c r="A60" s="158">
        <v>46082</v>
      </c>
      <c r="B60" s="92">
        <v>22331.4</v>
      </c>
      <c r="C60" s="71">
        <f t="shared" si="0"/>
        <v>-0.11308191662380629</v>
      </c>
      <c r="D60" s="133">
        <v>2558.25</v>
      </c>
      <c r="E60" s="71">
        <f t="shared" si="1"/>
        <v>0.18508824755639974</v>
      </c>
    </row>
    <row r="61" spans="1:5">
      <c r="A61" s="158">
        <v>46113</v>
      </c>
      <c r="B61" s="92">
        <v>23997.55</v>
      </c>
      <c r="C61" s="71">
        <f t="shared" si="0"/>
        <v>7.4610190135862453E-2</v>
      </c>
      <c r="D61" s="133">
        <v>2596.5500000000002</v>
      </c>
      <c r="E61" s="71">
        <f t="shared" si="1"/>
        <v>1.4971171699403873E-2</v>
      </c>
    </row>
    <row r="62" spans="1:5">
      <c r="A62" s="158">
        <v>46143</v>
      </c>
      <c r="B62" s="92">
        <v>23547.75</v>
      </c>
      <c r="C62" s="71">
        <f t="shared" si="0"/>
        <v>-1.8743580073799171E-2</v>
      </c>
      <c r="D62" s="133">
        <v>3137.6</v>
      </c>
      <c r="E62" s="71">
        <f t="shared" si="1"/>
        <v>0.20837264832181157</v>
      </c>
    </row>
    <row r="63" spans="1:5">
      <c r="A63" s="158">
        <v>46174</v>
      </c>
      <c r="B63" s="92">
        <v>23865.75</v>
      </c>
      <c r="C63" s="71">
        <f t="shared" si="0"/>
        <v>1.3504474949835865E-2</v>
      </c>
      <c r="D63" s="133">
        <v>3525.8</v>
      </c>
      <c r="E63" s="71">
        <f t="shared" si="1"/>
        <v>0.12372514023457426</v>
      </c>
    </row>
    <row r="64" spans="1:5">
      <c r="A64" s="158">
        <v>46204</v>
      </c>
      <c r="B64" s="92">
        <v>24383.599999999999</v>
      </c>
      <c r="C64" s="71">
        <f t="shared" si="0"/>
        <v>2.1698459088861588E-2</v>
      </c>
      <c r="D64" s="133">
        <v>3546.4</v>
      </c>
      <c r="E64" s="71">
        <f t="shared" si="1"/>
        <v>5.8426456407056904E-3</v>
      </c>
    </row>
    <row r="65" spans="1:2">
      <c r="A65" s="157"/>
      <c r="B65" s="4"/>
    </row>
    <row r="66" spans="1:2">
      <c r="A66" s="157"/>
      <c r="B66" s="4"/>
    </row>
  </sheetData>
  <pageMargins left="0.7" right="0.7" top="0.75" bottom="0.75" header="0.3" footer="0.3"/>
  <pageSetup orientation="portrait" r:id="rId1"/>
  <ignoredErrors>
    <ignoredError sqref="H5:H6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showGridLines="0" topLeftCell="A11" workbookViewId="0">
      <selection activeCell="L23" sqref="L23"/>
    </sheetView>
  </sheetViews>
  <sheetFormatPr defaultRowHeight="14.5"/>
  <cols>
    <col min="1" max="3" width="1.36328125" customWidth="1"/>
    <col min="4" max="4" width="40.81640625" customWidth="1"/>
    <col min="5" max="6" width="12.81640625" customWidth="1"/>
    <col min="7" max="7" width="2.81640625" customWidth="1"/>
    <col min="8" max="9" width="12.1796875" customWidth="1"/>
    <col min="10" max="10" width="15.1796875" customWidth="1"/>
    <col min="11" max="13" width="12.1796875" customWidth="1"/>
  </cols>
  <sheetData>
    <row r="1" spans="1:13" ht="46">
      <c r="A1" s="17" t="s">
        <v>2</v>
      </c>
      <c r="B1" s="1"/>
      <c r="C1" s="1"/>
      <c r="D1" s="1"/>
      <c r="E1" s="1"/>
      <c r="F1" s="1"/>
      <c r="G1" s="1"/>
      <c r="H1" s="1"/>
      <c r="I1" s="1"/>
      <c r="J1" s="24" t="s">
        <v>350</v>
      </c>
      <c r="K1" s="24"/>
      <c r="L1" s="24"/>
      <c r="M1" s="24"/>
    </row>
    <row r="2" spans="1:13" ht="18.5">
      <c r="A2" s="3" t="s">
        <v>397</v>
      </c>
      <c r="B2" s="2"/>
      <c r="C2" s="2"/>
      <c r="D2" s="2"/>
      <c r="E2" s="2"/>
      <c r="F2" s="2"/>
      <c r="G2" s="2"/>
      <c r="H2" s="2"/>
      <c r="I2" s="2"/>
      <c r="J2" s="24"/>
      <c r="K2" s="24"/>
      <c r="L2" s="24"/>
      <c r="M2" s="24"/>
    </row>
    <row r="4" spans="1:13" ht="18" customHeight="1">
      <c r="A4" s="128" t="s">
        <v>398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15.5">
      <c r="H5" s="183"/>
      <c r="I5" s="183"/>
      <c r="J5" s="183"/>
      <c r="K5" s="183" t="s">
        <v>403</v>
      </c>
    </row>
    <row r="6" spans="1:13" ht="15.5">
      <c r="H6" s="183" t="s">
        <v>307</v>
      </c>
      <c r="I6" s="183" t="s">
        <v>401</v>
      </c>
      <c r="J6" s="183" t="s">
        <v>402</v>
      </c>
      <c r="K6" s="183" t="s">
        <v>404</v>
      </c>
    </row>
    <row r="7" spans="1:13">
      <c r="D7" t="s">
        <v>399</v>
      </c>
      <c r="H7" s="184">
        <f>MAX(COMP!L19:L21)</f>
        <v>2253.4057634809633</v>
      </c>
      <c r="I7" s="184">
        <v>1995.6441623274918</v>
      </c>
      <c r="J7" s="184">
        <f>BETA!H6</f>
        <v>3546.4</v>
      </c>
      <c r="K7" s="184">
        <v>3970</v>
      </c>
    </row>
    <row r="8" spans="1:13">
      <c r="D8" t="s">
        <v>399</v>
      </c>
      <c r="H8" s="184">
        <f>H7</f>
        <v>2253.4057634809633</v>
      </c>
      <c r="I8" s="184">
        <f>I7</f>
        <v>1995.6441623274918</v>
      </c>
      <c r="J8" s="184">
        <f>J7</f>
        <v>3546.4</v>
      </c>
      <c r="K8" s="184">
        <f>K7</f>
        <v>3970</v>
      </c>
    </row>
    <row r="9" spans="1:13">
      <c r="D9" t="s">
        <v>400</v>
      </c>
      <c r="H9" s="184">
        <f>MIN(COMP!L19:L21)</f>
        <v>1352.7936103894287</v>
      </c>
      <c r="I9" s="184">
        <v>1722.6943883556808</v>
      </c>
      <c r="J9" s="184">
        <f>BETA!H5</f>
        <v>1318.8</v>
      </c>
      <c r="K9" s="184">
        <v>2890</v>
      </c>
    </row>
    <row r="10" spans="1:13">
      <c r="D10" t="s">
        <v>400</v>
      </c>
      <c r="H10" s="184">
        <f>H9</f>
        <v>1352.7936103894287</v>
      </c>
      <c r="I10" s="184">
        <f>I9</f>
        <v>1722.6943883556808</v>
      </c>
      <c r="J10" s="184">
        <f>J9</f>
        <v>1318.8</v>
      </c>
      <c r="K10" s="184">
        <f>K9</f>
        <v>2890</v>
      </c>
    </row>
    <row r="12" spans="1:13" ht="18.5">
      <c r="A12" s="128" t="s">
        <v>405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</sheetData>
  <pageMargins left="0.7" right="0.7" top="0.75" bottom="0.75" header="0.3" footer="0.3"/>
  <pageSetup orientation="portrait" r:id="rId1"/>
  <ignoredErrors>
    <ignoredError sqref="J9 H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TEMP</vt:lpstr>
      <vt:lpstr>HISTORICAL INFORMATION</vt:lpstr>
      <vt:lpstr>MODEL</vt:lpstr>
      <vt:lpstr>SCENARIOS</vt:lpstr>
      <vt:lpstr>COMP</vt:lpstr>
      <vt:lpstr>COMP DATA</vt:lpstr>
      <vt:lpstr>MARKET DATA</vt:lpstr>
      <vt:lpstr>WACC</vt:lpstr>
      <vt:lpstr>BETA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Manojkumar P</dc:creator>
  <cp:lastModifiedBy>HP</cp:lastModifiedBy>
  <cp:lastPrinted>2026-07-02T13:26:59Z</cp:lastPrinted>
  <dcterms:created xsi:type="dcterms:W3CDTF">2026-02-18T10:22:00Z</dcterms:created>
  <dcterms:modified xsi:type="dcterms:W3CDTF">2026-10-15T13:18:37Z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e0614a17-1f32-4e13-b1a7-b2f47186a22b</vt:lpwstr>
  </property>
</Properties>
</file>